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s\GitHub\portfolio\my_projects\hispanamur\powerbi\reporte-cuentas-cobrar\"/>
    </mc:Choice>
  </mc:AlternateContent>
  <bookViews>
    <workbookView xWindow="-120" yWindow="-120" windowWidth="29040" windowHeight="15840"/>
  </bookViews>
  <sheets>
    <sheet name="Cuentas por Cobrar General" sheetId="1" r:id="rId1"/>
  </sheets>
  <definedNames>
    <definedName name="_xlnm.Print_Titles" localSheetId="0">'Cuentas por Cobrar General'!$1:$1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85" i="1" l="1"/>
  <c r="G1085" i="1"/>
  <c r="F1085" i="1"/>
  <c r="E1085" i="1"/>
  <c r="D1085" i="1"/>
  <c r="H1083" i="1"/>
  <c r="G1083" i="1"/>
  <c r="F1083" i="1"/>
  <c r="E1083" i="1"/>
  <c r="D1083" i="1"/>
  <c r="H1077" i="1"/>
  <c r="G1077" i="1"/>
  <c r="F1077" i="1"/>
  <c r="E1077" i="1"/>
  <c r="D1077" i="1"/>
  <c r="H1073" i="1"/>
  <c r="G1073" i="1"/>
  <c r="F1073" i="1"/>
  <c r="E1073" i="1"/>
  <c r="D1073" i="1"/>
  <c r="H1069" i="1"/>
  <c r="G1069" i="1"/>
  <c r="F1069" i="1"/>
  <c r="E1069" i="1"/>
  <c r="D1069" i="1"/>
  <c r="H1065" i="1"/>
  <c r="G1065" i="1"/>
  <c r="F1065" i="1"/>
  <c r="E1065" i="1"/>
  <c r="D1065" i="1"/>
  <c r="H1061" i="1"/>
  <c r="G1061" i="1"/>
  <c r="F1061" i="1"/>
  <c r="E1061" i="1"/>
  <c r="D1061" i="1"/>
  <c r="H1057" i="1"/>
  <c r="G1057" i="1"/>
  <c r="F1057" i="1"/>
  <c r="E1057" i="1"/>
  <c r="D1057" i="1"/>
  <c r="H1053" i="1"/>
  <c r="G1053" i="1"/>
  <c r="F1053" i="1"/>
  <c r="E1053" i="1"/>
  <c r="D1053" i="1"/>
  <c r="H1049" i="1"/>
  <c r="G1049" i="1"/>
  <c r="F1049" i="1"/>
  <c r="E1049" i="1"/>
  <c r="D1049" i="1"/>
  <c r="H1045" i="1"/>
  <c r="G1045" i="1"/>
  <c r="F1045" i="1"/>
  <c r="E1045" i="1"/>
  <c r="D1045" i="1"/>
  <c r="H1040" i="1"/>
  <c r="G1040" i="1"/>
  <c r="F1040" i="1"/>
  <c r="E1040" i="1"/>
  <c r="D1040" i="1"/>
  <c r="H1036" i="1"/>
  <c r="G1036" i="1"/>
  <c r="F1036" i="1"/>
  <c r="E1036" i="1"/>
  <c r="D1036" i="1"/>
  <c r="H1032" i="1"/>
  <c r="G1032" i="1"/>
  <c r="F1032" i="1"/>
  <c r="E1032" i="1"/>
  <c r="D1032" i="1"/>
  <c r="H1028" i="1"/>
  <c r="G1028" i="1"/>
  <c r="F1028" i="1"/>
  <c r="E1028" i="1"/>
  <c r="D1028" i="1"/>
  <c r="H1021" i="1"/>
  <c r="G1021" i="1"/>
  <c r="F1021" i="1"/>
  <c r="E1021" i="1"/>
  <c r="D1021" i="1"/>
  <c r="H1017" i="1"/>
  <c r="G1017" i="1"/>
  <c r="F1017" i="1"/>
  <c r="E1017" i="1"/>
  <c r="D1017" i="1"/>
  <c r="H1013" i="1"/>
  <c r="G1013" i="1"/>
  <c r="F1013" i="1"/>
  <c r="E1013" i="1"/>
  <c r="D1013" i="1"/>
  <c r="H1005" i="1"/>
  <c r="G1005" i="1"/>
  <c r="F1005" i="1"/>
  <c r="E1005" i="1"/>
  <c r="D1005" i="1"/>
  <c r="H1001" i="1"/>
  <c r="G1001" i="1"/>
  <c r="F1001" i="1"/>
  <c r="E1001" i="1"/>
  <c r="D1001" i="1"/>
  <c r="H997" i="1"/>
  <c r="G997" i="1"/>
  <c r="F997" i="1"/>
  <c r="E997" i="1"/>
  <c r="D997" i="1"/>
  <c r="H993" i="1"/>
  <c r="G993" i="1"/>
  <c r="F993" i="1"/>
  <c r="E993" i="1"/>
  <c r="D993" i="1"/>
  <c r="H989" i="1"/>
  <c r="G989" i="1"/>
  <c r="F989" i="1"/>
  <c r="E989" i="1"/>
  <c r="D989" i="1"/>
  <c r="H985" i="1"/>
  <c r="G985" i="1"/>
  <c r="F985" i="1"/>
  <c r="E985" i="1"/>
  <c r="D985" i="1"/>
  <c r="H979" i="1"/>
  <c r="G979" i="1"/>
  <c r="F979" i="1"/>
  <c r="E979" i="1"/>
  <c r="D979" i="1"/>
  <c r="H971" i="1"/>
  <c r="G971" i="1"/>
  <c r="F971" i="1"/>
  <c r="E971" i="1"/>
  <c r="D971" i="1"/>
  <c r="H965" i="1"/>
  <c r="G965" i="1"/>
  <c r="F965" i="1"/>
  <c r="E965" i="1"/>
  <c r="D965" i="1"/>
  <c r="H960" i="1"/>
  <c r="G960" i="1"/>
  <c r="F960" i="1"/>
  <c r="E960" i="1"/>
  <c r="D960" i="1"/>
  <c r="H956" i="1"/>
  <c r="G956" i="1"/>
  <c r="F956" i="1"/>
  <c r="E956" i="1"/>
  <c r="D956" i="1"/>
  <c r="H949" i="1"/>
  <c r="G949" i="1"/>
  <c r="F949" i="1"/>
  <c r="E949" i="1"/>
  <c r="D949" i="1"/>
  <c r="H943" i="1"/>
  <c r="G943" i="1"/>
  <c r="F943" i="1"/>
  <c r="E943" i="1"/>
  <c r="D943" i="1"/>
  <c r="H938" i="1"/>
  <c r="G938" i="1"/>
  <c r="F938" i="1"/>
  <c r="E938" i="1"/>
  <c r="D938" i="1"/>
  <c r="H933" i="1"/>
  <c r="G933" i="1"/>
  <c r="F933" i="1"/>
  <c r="E933" i="1"/>
  <c r="D933" i="1"/>
  <c r="H924" i="1"/>
  <c r="G924" i="1"/>
  <c r="F924" i="1"/>
  <c r="E924" i="1"/>
  <c r="D924" i="1"/>
  <c r="H920" i="1"/>
  <c r="G920" i="1"/>
  <c r="F920" i="1"/>
  <c r="E920" i="1"/>
  <c r="D920" i="1"/>
  <c r="H916" i="1"/>
  <c r="G916" i="1"/>
  <c r="F916" i="1"/>
  <c r="E916" i="1"/>
  <c r="D916" i="1"/>
  <c r="H912" i="1"/>
  <c r="G912" i="1"/>
  <c r="F912" i="1"/>
  <c r="E912" i="1"/>
  <c r="D912" i="1"/>
  <c r="H908" i="1"/>
  <c r="G908" i="1"/>
  <c r="F908" i="1"/>
  <c r="E908" i="1"/>
  <c r="D908" i="1"/>
  <c r="H903" i="1"/>
  <c r="G903" i="1"/>
  <c r="F903" i="1"/>
  <c r="E903" i="1"/>
  <c r="D903" i="1"/>
  <c r="H899" i="1"/>
  <c r="G899" i="1"/>
  <c r="F899" i="1"/>
  <c r="E899" i="1"/>
  <c r="D899" i="1"/>
  <c r="H894" i="1"/>
  <c r="G894" i="1"/>
  <c r="F894" i="1"/>
  <c r="E894" i="1"/>
  <c r="D894" i="1"/>
  <c r="H889" i="1"/>
  <c r="G889" i="1"/>
  <c r="F889" i="1"/>
  <c r="E889" i="1"/>
  <c r="D889" i="1"/>
  <c r="H885" i="1"/>
  <c r="G885" i="1"/>
  <c r="F885" i="1"/>
  <c r="E885" i="1"/>
  <c r="D885" i="1"/>
  <c r="H881" i="1"/>
  <c r="G881" i="1"/>
  <c r="F881" i="1"/>
  <c r="E881" i="1"/>
  <c r="D881" i="1"/>
  <c r="H877" i="1"/>
  <c r="G877" i="1"/>
  <c r="F877" i="1"/>
  <c r="E877" i="1"/>
  <c r="D877" i="1"/>
  <c r="H873" i="1"/>
  <c r="G873" i="1"/>
  <c r="F873" i="1"/>
  <c r="E873" i="1"/>
  <c r="D873" i="1"/>
  <c r="H869" i="1"/>
  <c r="G869" i="1"/>
  <c r="F869" i="1"/>
  <c r="E869" i="1"/>
  <c r="D869" i="1"/>
  <c r="H864" i="1"/>
  <c r="G864" i="1"/>
  <c r="F864" i="1"/>
  <c r="E864" i="1"/>
  <c r="D864" i="1"/>
  <c r="H860" i="1"/>
  <c r="G860" i="1"/>
  <c r="F860" i="1"/>
  <c r="E860" i="1"/>
  <c r="D860" i="1"/>
  <c r="H850" i="1"/>
  <c r="G850" i="1"/>
  <c r="F850" i="1"/>
  <c r="E850" i="1"/>
  <c r="D850" i="1"/>
  <c r="H845" i="1"/>
  <c r="G845" i="1"/>
  <c r="F845" i="1"/>
  <c r="E845" i="1"/>
  <c r="D845" i="1"/>
  <c r="H840" i="1"/>
  <c r="G840" i="1"/>
  <c r="F840" i="1"/>
  <c r="E840" i="1"/>
  <c r="D840" i="1"/>
  <c r="H835" i="1"/>
  <c r="G835" i="1"/>
  <c r="F835" i="1"/>
  <c r="E835" i="1"/>
  <c r="D835" i="1"/>
  <c r="H830" i="1"/>
  <c r="G830" i="1"/>
  <c r="F830" i="1"/>
  <c r="E830" i="1"/>
  <c r="D830" i="1"/>
  <c r="H826" i="1"/>
  <c r="G826" i="1"/>
  <c r="F826" i="1"/>
  <c r="E826" i="1"/>
  <c r="D826" i="1"/>
  <c r="H821" i="1"/>
  <c r="G821" i="1"/>
  <c r="F821" i="1"/>
  <c r="E821" i="1"/>
  <c r="D821" i="1"/>
  <c r="H817" i="1"/>
  <c r="G817" i="1"/>
  <c r="F817" i="1"/>
  <c r="E817" i="1"/>
  <c r="D817" i="1"/>
  <c r="H812" i="1"/>
  <c r="G812" i="1"/>
  <c r="F812" i="1"/>
  <c r="E812" i="1"/>
  <c r="D812" i="1"/>
  <c r="H808" i="1"/>
  <c r="G808" i="1"/>
  <c r="F808" i="1"/>
  <c r="E808" i="1"/>
  <c r="D808" i="1"/>
  <c r="H801" i="1"/>
  <c r="G801" i="1"/>
  <c r="F801" i="1"/>
  <c r="E801" i="1"/>
  <c r="D801" i="1"/>
  <c r="H795" i="1"/>
  <c r="G795" i="1"/>
  <c r="F795" i="1"/>
  <c r="E795" i="1"/>
  <c r="D795" i="1"/>
  <c r="H790" i="1"/>
  <c r="G790" i="1"/>
  <c r="F790" i="1"/>
  <c r="E790" i="1"/>
  <c r="D790" i="1"/>
  <c r="H785" i="1"/>
  <c r="G785" i="1"/>
  <c r="F785" i="1"/>
  <c r="E785" i="1"/>
  <c r="D785" i="1"/>
  <c r="H780" i="1"/>
  <c r="G780" i="1"/>
  <c r="F780" i="1"/>
  <c r="E780" i="1"/>
  <c r="D780" i="1"/>
  <c r="H776" i="1"/>
  <c r="G776" i="1"/>
  <c r="F776" i="1"/>
  <c r="E776" i="1"/>
  <c r="D776" i="1"/>
  <c r="H772" i="1"/>
  <c r="G772" i="1"/>
  <c r="F772" i="1"/>
  <c r="E772" i="1"/>
  <c r="D772" i="1"/>
  <c r="H766" i="1"/>
  <c r="G766" i="1"/>
  <c r="F766" i="1"/>
  <c r="E766" i="1"/>
  <c r="D766" i="1"/>
  <c r="H761" i="1"/>
  <c r="G761" i="1"/>
  <c r="F761" i="1"/>
  <c r="E761" i="1"/>
  <c r="D761" i="1"/>
  <c r="H753" i="1"/>
  <c r="G753" i="1"/>
  <c r="F753" i="1"/>
  <c r="E753" i="1"/>
  <c r="D753" i="1"/>
  <c r="H747" i="1"/>
  <c r="G747" i="1"/>
  <c r="F747" i="1"/>
  <c r="E747" i="1"/>
  <c r="D747" i="1"/>
  <c r="H743" i="1"/>
  <c r="G743" i="1"/>
  <c r="F743" i="1"/>
  <c r="E743" i="1"/>
  <c r="D743" i="1"/>
  <c r="H738" i="1"/>
  <c r="G738" i="1"/>
  <c r="F738" i="1"/>
  <c r="E738" i="1"/>
  <c r="D738" i="1"/>
  <c r="H733" i="1"/>
  <c r="G733" i="1"/>
  <c r="F733" i="1"/>
  <c r="E733" i="1"/>
  <c r="D733" i="1"/>
  <c r="H729" i="1"/>
  <c r="G729" i="1"/>
  <c r="F729" i="1"/>
  <c r="E729" i="1"/>
  <c r="D729" i="1"/>
  <c r="H724" i="1"/>
  <c r="G724" i="1"/>
  <c r="F724" i="1"/>
  <c r="E724" i="1"/>
  <c r="D724" i="1"/>
  <c r="H719" i="1"/>
  <c r="G719" i="1"/>
  <c r="F719" i="1"/>
  <c r="E719" i="1"/>
  <c r="D719" i="1"/>
  <c r="H715" i="1"/>
  <c r="G715" i="1"/>
  <c r="F715" i="1"/>
  <c r="E715" i="1"/>
  <c r="D715" i="1"/>
  <c r="H711" i="1"/>
  <c r="G711" i="1"/>
  <c r="F711" i="1"/>
  <c r="E711" i="1"/>
  <c r="D711" i="1"/>
  <c r="H706" i="1"/>
  <c r="G706" i="1"/>
  <c r="F706" i="1"/>
  <c r="E706" i="1"/>
  <c r="D706" i="1"/>
  <c r="H702" i="1"/>
  <c r="G702" i="1"/>
  <c r="F702" i="1"/>
  <c r="E702" i="1"/>
  <c r="D702" i="1"/>
  <c r="H698" i="1"/>
  <c r="G698" i="1"/>
  <c r="F698" i="1"/>
  <c r="E698" i="1"/>
  <c r="D698" i="1"/>
  <c r="H693" i="1"/>
  <c r="G693" i="1"/>
  <c r="F693" i="1"/>
  <c r="E693" i="1"/>
  <c r="D693" i="1"/>
  <c r="H689" i="1"/>
  <c r="G689" i="1"/>
  <c r="F689" i="1"/>
  <c r="E689" i="1"/>
  <c r="D689" i="1"/>
  <c r="H685" i="1"/>
  <c r="G685" i="1"/>
  <c r="F685" i="1"/>
  <c r="E685" i="1"/>
  <c r="D685" i="1"/>
  <c r="H681" i="1"/>
  <c r="G681" i="1"/>
  <c r="F681" i="1"/>
  <c r="E681" i="1"/>
  <c r="D681" i="1"/>
  <c r="H677" i="1"/>
  <c r="G677" i="1"/>
  <c r="F677" i="1"/>
  <c r="E677" i="1"/>
  <c r="D677" i="1"/>
  <c r="H666" i="1"/>
  <c r="G666" i="1"/>
  <c r="F666" i="1"/>
  <c r="E666" i="1"/>
  <c r="D666" i="1"/>
  <c r="H660" i="1"/>
  <c r="G660" i="1"/>
  <c r="F660" i="1"/>
  <c r="E660" i="1"/>
  <c r="D660" i="1"/>
  <c r="H655" i="1"/>
  <c r="G655" i="1"/>
  <c r="F655" i="1"/>
  <c r="E655" i="1"/>
  <c r="D655" i="1"/>
  <c r="H651" i="1"/>
  <c r="G651" i="1"/>
  <c r="F651" i="1"/>
  <c r="E651" i="1"/>
  <c r="D651" i="1"/>
  <c r="H645" i="1"/>
  <c r="G645" i="1"/>
  <c r="F645" i="1"/>
  <c r="E645" i="1"/>
  <c r="D645" i="1"/>
  <c r="H637" i="1"/>
  <c r="G637" i="1"/>
  <c r="F637" i="1"/>
  <c r="E637" i="1"/>
  <c r="D637" i="1"/>
  <c r="H631" i="1"/>
  <c r="G631" i="1"/>
  <c r="F631" i="1"/>
  <c r="E631" i="1"/>
  <c r="D631" i="1"/>
  <c r="H622" i="1"/>
  <c r="G622" i="1"/>
  <c r="F622" i="1"/>
  <c r="E622" i="1"/>
  <c r="D622" i="1"/>
  <c r="H613" i="1"/>
  <c r="G613" i="1"/>
  <c r="F613" i="1"/>
  <c r="E613" i="1"/>
  <c r="D613" i="1"/>
  <c r="H609" i="1"/>
  <c r="G609" i="1"/>
  <c r="F609" i="1"/>
  <c r="E609" i="1"/>
  <c r="D609" i="1"/>
  <c r="H603" i="1"/>
  <c r="G603" i="1"/>
  <c r="F603" i="1"/>
  <c r="E603" i="1"/>
  <c r="D603" i="1"/>
  <c r="H599" i="1"/>
  <c r="G599" i="1"/>
  <c r="F599" i="1"/>
  <c r="E599" i="1"/>
  <c r="D599" i="1"/>
  <c r="H595" i="1"/>
  <c r="G595" i="1"/>
  <c r="F595" i="1"/>
  <c r="E595" i="1"/>
  <c r="D595" i="1"/>
  <c r="H591" i="1"/>
  <c r="G591" i="1"/>
  <c r="F591" i="1"/>
  <c r="E591" i="1"/>
  <c r="D591" i="1"/>
  <c r="H587" i="1"/>
  <c r="G587" i="1"/>
  <c r="F587" i="1"/>
  <c r="E587" i="1"/>
  <c r="D587" i="1"/>
  <c r="H583" i="1"/>
  <c r="G583" i="1"/>
  <c r="F583" i="1"/>
  <c r="E583" i="1"/>
  <c r="D583" i="1"/>
  <c r="H579" i="1"/>
  <c r="G579" i="1"/>
  <c r="F579" i="1"/>
  <c r="E579" i="1"/>
  <c r="D579" i="1"/>
  <c r="H575" i="1"/>
  <c r="G575" i="1"/>
  <c r="F575" i="1"/>
  <c r="E575" i="1"/>
  <c r="D575" i="1"/>
  <c r="H570" i="1"/>
  <c r="G570" i="1"/>
  <c r="F570" i="1"/>
  <c r="E570" i="1"/>
  <c r="D570" i="1"/>
  <c r="H566" i="1"/>
  <c r="G566" i="1"/>
  <c r="F566" i="1"/>
  <c r="E566" i="1"/>
  <c r="D566" i="1"/>
  <c r="H562" i="1"/>
  <c r="G562" i="1"/>
  <c r="F562" i="1"/>
  <c r="E562" i="1"/>
  <c r="D562" i="1"/>
  <c r="H558" i="1"/>
  <c r="G558" i="1"/>
  <c r="F558" i="1"/>
  <c r="E558" i="1"/>
  <c r="D558" i="1"/>
  <c r="H553" i="1"/>
  <c r="G553" i="1"/>
  <c r="F553" i="1"/>
  <c r="E553" i="1"/>
  <c r="D553" i="1"/>
  <c r="H548" i="1"/>
  <c r="G548" i="1"/>
  <c r="F548" i="1"/>
  <c r="E548" i="1"/>
  <c r="D548" i="1"/>
  <c r="H543" i="1"/>
  <c r="G543" i="1"/>
  <c r="F543" i="1"/>
  <c r="E543" i="1"/>
  <c r="D543" i="1"/>
  <c r="H539" i="1"/>
  <c r="G539" i="1"/>
  <c r="F539" i="1"/>
  <c r="E539" i="1"/>
  <c r="D539" i="1"/>
  <c r="H535" i="1"/>
  <c r="G535" i="1"/>
  <c r="F535" i="1"/>
  <c r="E535" i="1"/>
  <c r="D535" i="1"/>
  <c r="H530" i="1"/>
  <c r="G530" i="1"/>
  <c r="F530" i="1"/>
  <c r="E530" i="1"/>
  <c r="D530" i="1"/>
  <c r="H526" i="1"/>
  <c r="G526" i="1"/>
  <c r="F526" i="1"/>
  <c r="E526" i="1"/>
  <c r="D526" i="1"/>
  <c r="H522" i="1"/>
  <c r="G522" i="1"/>
  <c r="F522" i="1"/>
  <c r="E522" i="1"/>
  <c r="D522" i="1"/>
  <c r="H518" i="1"/>
  <c r="G518" i="1"/>
  <c r="F518" i="1"/>
  <c r="E518" i="1"/>
  <c r="D518" i="1"/>
  <c r="H514" i="1"/>
  <c r="G514" i="1"/>
  <c r="F514" i="1"/>
  <c r="E514" i="1"/>
  <c r="D514" i="1"/>
  <c r="H507" i="1"/>
  <c r="G507" i="1"/>
  <c r="F507" i="1"/>
  <c r="E507" i="1"/>
  <c r="D507" i="1"/>
  <c r="H502" i="1"/>
  <c r="G502" i="1"/>
  <c r="F502" i="1"/>
  <c r="E502" i="1"/>
  <c r="D502" i="1"/>
  <c r="H497" i="1"/>
  <c r="G497" i="1"/>
  <c r="F497" i="1"/>
  <c r="E497" i="1"/>
  <c r="D497" i="1"/>
  <c r="H458" i="1"/>
  <c r="G458" i="1"/>
  <c r="F458" i="1"/>
  <c r="E458" i="1"/>
  <c r="D458" i="1"/>
  <c r="H454" i="1"/>
  <c r="G454" i="1"/>
  <c r="F454" i="1"/>
  <c r="E454" i="1"/>
  <c r="D454" i="1"/>
  <c r="H445" i="1"/>
  <c r="G445" i="1"/>
  <c r="F445" i="1"/>
  <c r="E445" i="1"/>
  <c r="D445" i="1"/>
  <c r="H438" i="1"/>
  <c r="G438" i="1"/>
  <c r="F438" i="1"/>
  <c r="E438" i="1"/>
  <c r="D438" i="1"/>
  <c r="H434" i="1"/>
  <c r="G434" i="1"/>
  <c r="F434" i="1"/>
  <c r="E434" i="1"/>
  <c r="D434" i="1"/>
  <c r="H429" i="1"/>
  <c r="G429" i="1"/>
  <c r="F429" i="1"/>
  <c r="E429" i="1"/>
  <c r="D429" i="1"/>
  <c r="H424" i="1"/>
  <c r="G424" i="1"/>
  <c r="F424" i="1"/>
  <c r="E424" i="1"/>
  <c r="D424" i="1"/>
  <c r="H420" i="1"/>
  <c r="G420" i="1"/>
  <c r="F420" i="1"/>
  <c r="E420" i="1"/>
  <c r="D420" i="1"/>
  <c r="H416" i="1"/>
  <c r="G416" i="1"/>
  <c r="F416" i="1"/>
  <c r="E416" i="1"/>
  <c r="D416" i="1"/>
  <c r="H412" i="1"/>
  <c r="G412" i="1"/>
  <c r="F412" i="1"/>
  <c r="E412" i="1"/>
  <c r="D412" i="1"/>
  <c r="H401" i="1"/>
  <c r="G401" i="1"/>
  <c r="F401" i="1"/>
  <c r="E401" i="1"/>
  <c r="D401" i="1"/>
  <c r="H397" i="1"/>
  <c r="G397" i="1"/>
  <c r="F397" i="1"/>
  <c r="E397" i="1"/>
  <c r="D397" i="1"/>
  <c r="H388" i="1"/>
  <c r="G388" i="1"/>
  <c r="F388" i="1"/>
  <c r="E388" i="1"/>
  <c r="D388" i="1"/>
  <c r="H384" i="1"/>
  <c r="G384" i="1"/>
  <c r="F384" i="1"/>
  <c r="E384" i="1"/>
  <c r="D384" i="1"/>
  <c r="H378" i="1"/>
  <c r="G378" i="1"/>
  <c r="F378" i="1"/>
  <c r="E378" i="1"/>
  <c r="D378" i="1"/>
  <c r="H373" i="1"/>
  <c r="G373" i="1"/>
  <c r="F373" i="1"/>
  <c r="E373" i="1"/>
  <c r="D373" i="1"/>
  <c r="H368" i="1"/>
  <c r="G368" i="1"/>
  <c r="F368" i="1"/>
  <c r="E368" i="1"/>
  <c r="D368" i="1"/>
  <c r="H362" i="1"/>
  <c r="G362" i="1"/>
  <c r="F362" i="1"/>
  <c r="E362" i="1"/>
  <c r="D362" i="1"/>
  <c r="H354" i="1"/>
  <c r="G354" i="1"/>
  <c r="F354" i="1"/>
  <c r="E354" i="1"/>
  <c r="D354" i="1"/>
  <c r="H349" i="1"/>
  <c r="G349" i="1"/>
  <c r="F349" i="1"/>
  <c r="E349" i="1"/>
  <c r="D349" i="1"/>
  <c r="H345" i="1"/>
  <c r="G345" i="1"/>
  <c r="F345" i="1"/>
  <c r="E345" i="1"/>
  <c r="D345" i="1"/>
  <c r="H340" i="1"/>
  <c r="G340" i="1"/>
  <c r="F340" i="1"/>
  <c r="E340" i="1"/>
  <c r="D340" i="1"/>
  <c r="H336" i="1"/>
  <c r="G336" i="1"/>
  <c r="F336" i="1"/>
  <c r="E336" i="1"/>
  <c r="D336" i="1"/>
  <c r="H332" i="1"/>
  <c r="G332" i="1"/>
  <c r="F332" i="1"/>
  <c r="E332" i="1"/>
  <c r="D332" i="1"/>
  <c r="H324" i="1"/>
  <c r="G324" i="1"/>
  <c r="F324" i="1"/>
  <c r="E324" i="1"/>
  <c r="D324" i="1"/>
  <c r="H312" i="1"/>
  <c r="G312" i="1"/>
  <c r="F312" i="1"/>
  <c r="E312" i="1"/>
  <c r="D312" i="1"/>
  <c r="H306" i="1"/>
  <c r="G306" i="1"/>
  <c r="F306" i="1"/>
  <c r="E306" i="1"/>
  <c r="D306" i="1"/>
  <c r="H302" i="1"/>
  <c r="G302" i="1"/>
  <c r="F302" i="1"/>
  <c r="E302" i="1"/>
  <c r="D302" i="1"/>
  <c r="H295" i="1"/>
  <c r="G295" i="1"/>
  <c r="F295" i="1"/>
  <c r="E295" i="1"/>
  <c r="D295" i="1"/>
  <c r="H291" i="1"/>
  <c r="G291" i="1"/>
  <c r="F291" i="1"/>
  <c r="E291" i="1"/>
  <c r="D291" i="1"/>
  <c r="H287" i="1"/>
  <c r="G287" i="1"/>
  <c r="F287" i="1"/>
  <c r="E287" i="1"/>
  <c r="D287" i="1"/>
  <c r="H278" i="1"/>
  <c r="G278" i="1"/>
  <c r="F278" i="1"/>
  <c r="E278" i="1"/>
  <c r="D278" i="1"/>
  <c r="H273" i="1"/>
  <c r="G273" i="1"/>
  <c r="F273" i="1"/>
  <c r="E273" i="1"/>
  <c r="D273" i="1"/>
  <c r="H269" i="1"/>
  <c r="G269" i="1"/>
  <c r="F269" i="1"/>
  <c r="E269" i="1"/>
  <c r="D269" i="1"/>
  <c r="H258" i="1"/>
  <c r="G258" i="1"/>
  <c r="F258" i="1"/>
  <c r="E258" i="1"/>
  <c r="D258" i="1"/>
  <c r="H254" i="1"/>
  <c r="G254" i="1"/>
  <c r="F254" i="1"/>
  <c r="E254" i="1"/>
  <c r="D254" i="1"/>
  <c r="H248" i="1"/>
  <c r="G248" i="1"/>
  <c r="F248" i="1"/>
  <c r="E248" i="1"/>
  <c r="D248" i="1"/>
  <c r="H243" i="1"/>
  <c r="G243" i="1"/>
  <c r="F243" i="1"/>
  <c r="E243" i="1"/>
  <c r="D243" i="1"/>
  <c r="H238" i="1"/>
  <c r="G238" i="1"/>
  <c r="F238" i="1"/>
  <c r="E238" i="1"/>
  <c r="D238" i="1"/>
  <c r="H234" i="1"/>
  <c r="G234" i="1"/>
  <c r="F234" i="1"/>
  <c r="E234" i="1"/>
  <c r="D234" i="1"/>
  <c r="H230" i="1"/>
  <c r="G230" i="1"/>
  <c r="F230" i="1"/>
  <c r="E230" i="1"/>
  <c r="D230" i="1"/>
  <c r="H226" i="1"/>
  <c r="G226" i="1"/>
  <c r="F226" i="1"/>
  <c r="E226" i="1"/>
  <c r="D226" i="1"/>
  <c r="H222" i="1"/>
  <c r="G222" i="1"/>
  <c r="F222" i="1"/>
  <c r="E222" i="1"/>
  <c r="D222" i="1"/>
  <c r="H218" i="1"/>
  <c r="G218" i="1"/>
  <c r="F218" i="1"/>
  <c r="E218" i="1"/>
  <c r="D218" i="1"/>
  <c r="H214" i="1"/>
  <c r="G214" i="1"/>
  <c r="F214" i="1"/>
  <c r="E214" i="1"/>
  <c r="D214" i="1"/>
  <c r="H210" i="1"/>
  <c r="G210" i="1"/>
  <c r="F210" i="1"/>
  <c r="E210" i="1"/>
  <c r="D210" i="1"/>
  <c r="H205" i="1"/>
  <c r="G205" i="1"/>
  <c r="F205" i="1"/>
  <c r="E205" i="1"/>
  <c r="D205" i="1"/>
  <c r="H201" i="1"/>
  <c r="G201" i="1"/>
  <c r="F201" i="1"/>
  <c r="E201" i="1"/>
  <c r="D201" i="1"/>
  <c r="H197" i="1"/>
  <c r="G197" i="1"/>
  <c r="F197" i="1"/>
  <c r="E197" i="1"/>
  <c r="D197" i="1"/>
  <c r="H193" i="1"/>
  <c r="G193" i="1"/>
  <c r="F193" i="1"/>
  <c r="E193" i="1"/>
  <c r="D193" i="1"/>
  <c r="H188" i="1"/>
  <c r="G188" i="1"/>
  <c r="F188" i="1"/>
  <c r="E188" i="1"/>
  <c r="D188" i="1"/>
  <c r="H184" i="1"/>
  <c r="G184" i="1"/>
  <c r="F184" i="1"/>
  <c r="E184" i="1"/>
  <c r="D184" i="1"/>
  <c r="H180" i="1"/>
  <c r="G180" i="1"/>
  <c r="F180" i="1"/>
  <c r="E180" i="1"/>
  <c r="D180" i="1"/>
  <c r="H176" i="1"/>
  <c r="G176" i="1"/>
  <c r="F176" i="1"/>
  <c r="E176" i="1"/>
  <c r="D176" i="1"/>
  <c r="H172" i="1"/>
  <c r="G172" i="1"/>
  <c r="F172" i="1"/>
  <c r="E172" i="1"/>
  <c r="D172" i="1"/>
  <c r="H168" i="1"/>
  <c r="G168" i="1"/>
  <c r="F168" i="1"/>
  <c r="E168" i="1"/>
  <c r="D168" i="1"/>
  <c r="H161" i="1"/>
  <c r="G161" i="1"/>
  <c r="F161" i="1"/>
  <c r="E161" i="1"/>
  <c r="D161" i="1"/>
  <c r="H157" i="1"/>
  <c r="G157" i="1"/>
  <c r="F157" i="1"/>
  <c r="E157" i="1"/>
  <c r="D157" i="1"/>
  <c r="H152" i="1"/>
  <c r="G152" i="1"/>
  <c r="F152" i="1"/>
  <c r="E152" i="1"/>
  <c r="D152" i="1"/>
  <c r="H147" i="1"/>
  <c r="G147" i="1"/>
  <c r="F147" i="1"/>
  <c r="E147" i="1"/>
  <c r="D147" i="1"/>
  <c r="H143" i="1"/>
  <c r="G143" i="1"/>
  <c r="F143" i="1"/>
  <c r="E143" i="1"/>
  <c r="D143" i="1"/>
  <c r="H139" i="1"/>
  <c r="G139" i="1"/>
  <c r="F139" i="1"/>
  <c r="E139" i="1"/>
  <c r="D139" i="1"/>
  <c r="H133" i="1"/>
  <c r="G133" i="1"/>
  <c r="F133" i="1"/>
  <c r="E133" i="1"/>
  <c r="D133" i="1"/>
  <c r="H129" i="1"/>
  <c r="G129" i="1"/>
  <c r="F129" i="1"/>
  <c r="E129" i="1"/>
  <c r="D129" i="1"/>
  <c r="H123" i="1"/>
  <c r="G123" i="1"/>
  <c r="F123" i="1"/>
  <c r="E123" i="1"/>
  <c r="D123" i="1"/>
  <c r="H118" i="1"/>
  <c r="G118" i="1"/>
  <c r="F118" i="1"/>
  <c r="E118" i="1"/>
  <c r="D118" i="1"/>
  <c r="H114" i="1"/>
  <c r="G114" i="1"/>
  <c r="F114" i="1"/>
  <c r="E114" i="1"/>
  <c r="D114" i="1"/>
  <c r="H108" i="1"/>
  <c r="G108" i="1"/>
  <c r="F108" i="1"/>
  <c r="E108" i="1"/>
  <c r="D108" i="1"/>
  <c r="H98" i="1"/>
  <c r="G98" i="1"/>
  <c r="F98" i="1"/>
  <c r="E98" i="1"/>
  <c r="D98" i="1"/>
  <c r="H93" i="1"/>
  <c r="G93" i="1"/>
  <c r="F93" i="1"/>
  <c r="E93" i="1"/>
  <c r="D93" i="1"/>
  <c r="H89" i="1"/>
  <c r="G89" i="1"/>
  <c r="F89" i="1"/>
  <c r="E89" i="1"/>
  <c r="D89" i="1"/>
  <c r="H85" i="1"/>
  <c r="G85" i="1"/>
  <c r="F85" i="1"/>
  <c r="E85" i="1"/>
  <c r="D85" i="1"/>
  <c r="H76" i="1"/>
  <c r="G76" i="1"/>
  <c r="F76" i="1"/>
  <c r="E76" i="1"/>
  <c r="D76" i="1"/>
  <c r="H72" i="1"/>
  <c r="G72" i="1"/>
  <c r="F72" i="1"/>
  <c r="E72" i="1"/>
  <c r="D72" i="1"/>
  <c r="H68" i="1"/>
  <c r="G68" i="1"/>
  <c r="F68" i="1"/>
  <c r="E68" i="1"/>
  <c r="D68" i="1"/>
  <c r="H63" i="1"/>
  <c r="G63" i="1"/>
  <c r="F63" i="1"/>
  <c r="E63" i="1"/>
  <c r="D63" i="1"/>
  <c r="H58" i="1"/>
  <c r="G58" i="1"/>
  <c r="F58" i="1"/>
  <c r="E58" i="1"/>
  <c r="D58" i="1"/>
  <c r="H54" i="1"/>
  <c r="G54" i="1"/>
  <c r="F54" i="1"/>
  <c r="E54" i="1"/>
  <c r="D54" i="1"/>
  <c r="H50" i="1"/>
  <c r="G50" i="1"/>
  <c r="F50" i="1"/>
  <c r="E50" i="1"/>
  <c r="D50" i="1"/>
  <c r="H46" i="1"/>
  <c r="G46" i="1"/>
  <c r="F46" i="1"/>
  <c r="E46" i="1"/>
  <c r="D46" i="1"/>
  <c r="H42" i="1"/>
  <c r="G42" i="1"/>
  <c r="F42" i="1"/>
  <c r="E42" i="1"/>
  <c r="D42" i="1"/>
  <c r="H38" i="1"/>
  <c r="G38" i="1"/>
  <c r="F38" i="1"/>
  <c r="E38" i="1"/>
  <c r="D38" i="1"/>
  <c r="H32" i="1"/>
  <c r="G32" i="1"/>
  <c r="F32" i="1"/>
  <c r="E32" i="1"/>
  <c r="D32" i="1"/>
  <c r="H26" i="1"/>
  <c r="G26" i="1"/>
  <c r="F26" i="1"/>
  <c r="E26" i="1"/>
  <c r="D26" i="1"/>
  <c r="H22" i="1"/>
  <c r="G22" i="1"/>
  <c r="F22" i="1"/>
  <c r="E22" i="1"/>
  <c r="D22" i="1"/>
  <c r="H17" i="1"/>
  <c r="G17" i="1"/>
  <c r="F17" i="1"/>
  <c r="E17" i="1"/>
  <c r="D17" i="1"/>
  <c r="H13" i="1"/>
  <c r="G13" i="1"/>
  <c r="F13" i="1"/>
  <c r="E13" i="1"/>
  <c r="D13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<sst xmlns="http://schemas.openxmlformats.org/spreadsheetml/2006/main" count="4021" uniqueCount="912">
  <si>
    <t>Customer ID</t>
  </si>
  <si>
    <t>Customer</t>
  </si>
  <si>
    <t>Invoice/CM #</t>
  </si>
  <si>
    <t>0-15</t>
  </si>
  <si>
    <t>15-30</t>
  </si>
  <si>
    <t>30-45</t>
  </si>
  <si>
    <t>Mas de 45 dias</t>
  </si>
  <si>
    <t>Amount Due</t>
  </si>
  <si>
    <t>Date</t>
  </si>
  <si>
    <t>Age</t>
  </si>
  <si>
    <t>Job ID</t>
  </si>
  <si>
    <t>Terms</t>
  </si>
  <si>
    <t>Customer Type</t>
  </si>
  <si>
    <t>0391008043001</t>
  </si>
  <si>
    <t>ABAD MENDIETA CIA. LTDA.</t>
  </si>
  <si>
    <t>0050010037621</t>
  </si>
  <si>
    <t/>
  </si>
  <si>
    <t>Net 30 Days</t>
  </si>
  <si>
    <t>MAY CUE</t>
  </si>
  <si>
    <t>0050010037622</t>
  </si>
  <si>
    <t>0050010037623</t>
  </si>
  <si>
    <t>0050010037844</t>
  </si>
  <si>
    <t>0913161287001</t>
  </si>
  <si>
    <t>ACURIO PUIG NANCY ISELA</t>
  </si>
  <si>
    <t>0050010037549</t>
  </si>
  <si>
    <t>Net 15 Days</t>
  </si>
  <si>
    <t>GYC</t>
  </si>
  <si>
    <t>0050010037683</t>
  </si>
  <si>
    <t>0050010037825</t>
  </si>
  <si>
    <t>1803544301001</t>
  </si>
  <si>
    <t>AGUAGUIÑA PILLA BYRON PATRICIO</t>
  </si>
  <si>
    <t>0050010037770</t>
  </si>
  <si>
    <t>MAY AMB</t>
  </si>
  <si>
    <t>1207522812001</t>
  </si>
  <si>
    <t>AGUILAR MECA ARMANDO ALEJANDRO</t>
  </si>
  <si>
    <t>0050010037696</t>
  </si>
  <si>
    <t>Net 8 Days</t>
  </si>
  <si>
    <t>0050010037834</t>
  </si>
  <si>
    <t>0919308304001</t>
  </si>
  <si>
    <t>ALARCON JIMENEZ ISABEL JOHANNA</t>
  </si>
  <si>
    <t>0050010037827</t>
  </si>
  <si>
    <t>GYR</t>
  </si>
  <si>
    <t>1801783190</t>
  </si>
  <si>
    <t>ALDAZ ORTIZ CARMEN PIEDAD</t>
  </si>
  <si>
    <t>0050010036579</t>
  </si>
  <si>
    <t>0050010037590</t>
  </si>
  <si>
    <t>0050010037866</t>
  </si>
  <si>
    <t>0993380209001</t>
  </si>
  <si>
    <t>ALIPRODUCTS S.A.S.</t>
  </si>
  <si>
    <t>0050010035668</t>
  </si>
  <si>
    <t>RES</t>
  </si>
  <si>
    <t>0050010035923</t>
  </si>
  <si>
    <t>0050010036372</t>
  </si>
  <si>
    <t>0914286463001</t>
  </si>
  <si>
    <t>ALMEIDA LUQUE ANNIE IVETTE</t>
  </si>
  <si>
    <t>0050010037835</t>
  </si>
  <si>
    <t>0703186940001</t>
  </si>
  <si>
    <t>ALVARADO ZAMBRANO RUDYARD FERNANDO</t>
  </si>
  <si>
    <t>0050010037887</t>
  </si>
  <si>
    <t>CUE</t>
  </si>
  <si>
    <t>1706242300001</t>
  </si>
  <si>
    <t>ALVAREZ CALVACHI JACQUELINE ALEXANDRA</t>
  </si>
  <si>
    <t>0050010037443</t>
  </si>
  <si>
    <t>SDO</t>
  </si>
  <si>
    <t>1307813473</t>
  </si>
  <si>
    <t>ALVIA JOSE LUIS</t>
  </si>
  <si>
    <t>0050010036967</t>
  </si>
  <si>
    <t>1714896220001</t>
  </si>
  <si>
    <t>AMAGUAÑA GUAYGUACUNDO ANGELICA MARIA</t>
  </si>
  <si>
    <t>0050010037706</t>
  </si>
  <si>
    <t>MAY UIC</t>
  </si>
  <si>
    <t>0803898162001</t>
  </si>
  <si>
    <t>ANDRADE CHITAN TEO JERICO</t>
  </si>
  <si>
    <t>0050010037488</t>
  </si>
  <si>
    <t>0050010037756</t>
  </si>
  <si>
    <t>0702532425001</t>
  </si>
  <si>
    <t>ANGUISACA JERVEZ YANDRY JIOBANY</t>
  </si>
  <si>
    <t>0050010037611</t>
  </si>
  <si>
    <t>D</t>
  </si>
  <si>
    <t>0050010037888</t>
  </si>
  <si>
    <t>1301868426001</t>
  </si>
  <si>
    <t>ARBOLEDA VACA LETTY VIRGINIA</t>
  </si>
  <si>
    <t>0050010037801</t>
  </si>
  <si>
    <t>1710105907001</t>
  </si>
  <si>
    <t>ARCOS PLAZAS SILVIO ROBERTO</t>
  </si>
  <si>
    <t>0050010037711</t>
  </si>
  <si>
    <t>0916712268001</t>
  </si>
  <si>
    <t>ARELLANO ORTEGA ERNESTO</t>
  </si>
  <si>
    <t>0050010037216</t>
  </si>
  <si>
    <t>Net 21 Days</t>
  </si>
  <si>
    <t>0050010037291</t>
  </si>
  <si>
    <t>0050010037520</t>
  </si>
  <si>
    <t>0050010037554</t>
  </si>
  <si>
    <t>0050010037690</t>
  </si>
  <si>
    <t>0050010037836</t>
  </si>
  <si>
    <t>0101562148001</t>
  </si>
  <si>
    <t>ARIAS VASQUEZ SERGIO POLIVIO</t>
  </si>
  <si>
    <t>0050010037738</t>
  </si>
  <si>
    <t>AMB</t>
  </si>
  <si>
    <t>1306588458001</t>
  </si>
  <si>
    <t>ARTEAGA CEVALLOS FRANKLIN HUMBERTO</t>
  </si>
  <si>
    <t>0050010037758</t>
  </si>
  <si>
    <t>1200981650001</t>
  </si>
  <si>
    <t>ASPIAZU COELLO CARLOS ALBERTO</t>
  </si>
  <si>
    <t>0050010037211</t>
  </si>
  <si>
    <t>0050010037870</t>
  </si>
  <si>
    <t>0919774984001</t>
  </si>
  <si>
    <t>ASPIAZU GONZALEZ GISELLA</t>
  </si>
  <si>
    <t>0050010037375</t>
  </si>
  <si>
    <t>0050010037501</t>
  </si>
  <si>
    <t>0050010037550</t>
  </si>
  <si>
    <t>0050010037625</t>
  </si>
  <si>
    <t>0050010037769</t>
  </si>
  <si>
    <t>0050010037828</t>
  </si>
  <si>
    <t>0050010037903</t>
  </si>
  <si>
    <t>0700834393001</t>
  </si>
  <si>
    <t>ASTUDILLO ROMERO MERCEDES MARIA</t>
  </si>
  <si>
    <t>0050010037347</t>
  </si>
  <si>
    <t>Net 18 Days</t>
  </si>
  <si>
    <t>0050010037612</t>
  </si>
  <si>
    <t>0050010037889</t>
  </si>
  <si>
    <t>0603864000001</t>
  </si>
  <si>
    <t>AULLA AULLA MARIA IGNACIA</t>
  </si>
  <si>
    <t>0050010037905</t>
  </si>
  <si>
    <t>1706170899001</t>
  </si>
  <si>
    <t>BALCAZAR ENRIQUEZ LEILA</t>
  </si>
  <si>
    <t>0050010037101</t>
  </si>
  <si>
    <t>0050010037715</t>
  </si>
  <si>
    <t>0703859017001</t>
  </si>
  <si>
    <t>BANCHON QUINDE IRENE BEATRIZ</t>
  </si>
  <si>
    <t>0050010037757</t>
  </si>
  <si>
    <t>0050010004844</t>
  </si>
  <si>
    <t>0050010037883</t>
  </si>
  <si>
    <t>0500898622001</t>
  </si>
  <si>
    <t>BASTIDAS ALVEAR MARIA INES</t>
  </si>
  <si>
    <t>0050010037570</t>
  </si>
  <si>
    <t>0105622674001</t>
  </si>
  <si>
    <t>BERMEO MOGROVEJO BORIS GUSTAVO</t>
  </si>
  <si>
    <t>0050010037653</t>
  </si>
  <si>
    <t>0050010037656</t>
  </si>
  <si>
    <t>0050010037674</t>
  </si>
  <si>
    <t>0101573475</t>
  </si>
  <si>
    <t>BERMEO SARMIENTO LUIS ALBERTO</t>
  </si>
  <si>
    <t>0050010037654</t>
  </si>
  <si>
    <t>1716789563001</t>
  </si>
  <si>
    <t>BONIFAZ VASCONEZ SILVANA JACQUELINE</t>
  </si>
  <si>
    <t>0050010037435</t>
  </si>
  <si>
    <t>1716145881001</t>
  </si>
  <si>
    <t>BRAVO CAGUA BETTY SORAYA</t>
  </si>
  <si>
    <t>0050010037751</t>
  </si>
  <si>
    <t>0050010037871</t>
  </si>
  <si>
    <t>0992802952001</t>
  </si>
  <si>
    <t>BREXIUNISA S.A.</t>
  </si>
  <si>
    <t>0050010037613</t>
  </si>
  <si>
    <t>0050010037891</t>
  </si>
  <si>
    <t>0706277530001</t>
  </si>
  <si>
    <t>BUELE RAMIREZ JORDY BENJAMIN</t>
  </si>
  <si>
    <t>0050010037890</t>
  </si>
  <si>
    <t>0103948709</t>
  </si>
  <si>
    <t>BURUHAN LEON CARMEN MARIA</t>
  </si>
  <si>
    <t>0050010037642</t>
  </si>
  <si>
    <t>0050010037675</t>
  </si>
  <si>
    <t>0050010037857</t>
  </si>
  <si>
    <t>0050010004843</t>
  </si>
  <si>
    <t>0704319375001</t>
  </si>
  <si>
    <t>CABRERA ARCINA RIGOBERTO OLMEDO</t>
  </si>
  <si>
    <t>0050010037886</t>
  </si>
  <si>
    <t>0702287368001</t>
  </si>
  <si>
    <t>CABRERA JARAMILLO MAGALY ESPERANZA</t>
  </si>
  <si>
    <t>0050010037815</t>
  </si>
  <si>
    <t>1000956910001</t>
  </si>
  <si>
    <t>CADENA IPIALES MARIA ESTELA</t>
  </si>
  <si>
    <t>0050010036920</t>
  </si>
  <si>
    <t>0800685877001</t>
  </si>
  <si>
    <t>CAICEDO GONZALEZ MARY ELIANA</t>
  </si>
  <si>
    <t>0050010037487</t>
  </si>
  <si>
    <t>0105479331001</t>
  </si>
  <si>
    <t>CALDERON MOGROVEJO MARIA ISABEL</t>
  </si>
  <si>
    <t>0050010037676</t>
  </si>
  <si>
    <t>0107401820001</t>
  </si>
  <si>
    <t>CALLE ZUÑA ANDREA MARIBEL</t>
  </si>
  <si>
    <t>0050010004825</t>
  </si>
  <si>
    <t>0050010037904</t>
  </si>
  <si>
    <t>0550347736001</t>
  </si>
  <si>
    <t>CALVOPIÑA LOPEZ GISSELA MERCEDES</t>
  </si>
  <si>
    <t>0050010037805</t>
  </si>
  <si>
    <t>UIO</t>
  </si>
  <si>
    <t>1850939917</t>
  </si>
  <si>
    <t>CAMBO PILCO ERIKA MARIBEL</t>
  </si>
  <si>
    <t>0050010036938</t>
  </si>
  <si>
    <t>0102478104001</t>
  </si>
  <si>
    <t>CAMPOVERDE HERAS JORGE RODOLFO</t>
  </si>
  <si>
    <t>0050010004784</t>
  </si>
  <si>
    <t>1802724508001</t>
  </si>
  <si>
    <t>CANDO FREIRE ALEXANDRA JACQUELINE</t>
  </si>
  <si>
    <t>0050010037270</t>
  </si>
  <si>
    <t>0050010037658</t>
  </si>
  <si>
    <t>0104984216001</t>
  </si>
  <si>
    <t>CARDENAS ZHUNIO FREDDY GUSTAVO</t>
  </si>
  <si>
    <t>0050010037677</t>
  </si>
  <si>
    <t>1719796250001</t>
  </si>
  <si>
    <t>CASAGALLO MENDOZA MARIA ELENA</t>
  </si>
  <si>
    <t>0050010037705</t>
  </si>
  <si>
    <t>0400748125001</t>
  </si>
  <si>
    <t>CASTILLO ROSERO PEDRO RODRIGO</t>
  </si>
  <si>
    <t>0050010035613</t>
  </si>
  <si>
    <t>0919288589001</t>
  </si>
  <si>
    <t>CASTRO VERA CHRISTIAN XAVIER</t>
  </si>
  <si>
    <t>0050010037560</t>
  </si>
  <si>
    <t>0924915853001</t>
  </si>
  <si>
    <t>CASTRO VERA HENRY ALEXIS</t>
  </si>
  <si>
    <t>0050010037563</t>
  </si>
  <si>
    <t>0922403654001</t>
  </si>
  <si>
    <t>CASTRO VERA JULIO CESAR</t>
  </si>
  <si>
    <t>0050010037830</t>
  </si>
  <si>
    <t>1315843282001</t>
  </si>
  <si>
    <t>CEDEÑO CEVALLOS JONATHAN ALBERTO</t>
  </si>
  <si>
    <t>0050010037882</t>
  </si>
  <si>
    <t>1312265844001</t>
  </si>
  <si>
    <t>CEDEÑO CONTERON ERICK JOSUE</t>
  </si>
  <si>
    <t>0050010004822</t>
  </si>
  <si>
    <t>0050010037760</t>
  </si>
  <si>
    <t>1308674454001</t>
  </si>
  <si>
    <t>CEDEÑO PINARGOTE PAOLA CRISTINA</t>
  </si>
  <si>
    <t>0050010037395</t>
  </si>
  <si>
    <t>0050010037603</t>
  </si>
  <si>
    <t>1701129635001</t>
  </si>
  <si>
    <t>CEVALLOS BARROS MARTHA BEATRIZ</t>
  </si>
  <si>
    <t>0050010037707</t>
  </si>
  <si>
    <t>0050010037708</t>
  </si>
  <si>
    <t>0050010037709</t>
  </si>
  <si>
    <t>1704979804001</t>
  </si>
  <si>
    <t>CEVALLOS LOPEZ MYRIAM GUADALUPE</t>
  </si>
  <si>
    <t>0050010037437</t>
  </si>
  <si>
    <t>1718936766001</t>
  </si>
  <si>
    <t>CEVALLOS SEVILLANO WASHINGTON PATRICIO</t>
  </si>
  <si>
    <t>0050010037451</t>
  </si>
  <si>
    <t>UIC</t>
  </si>
  <si>
    <t>0050010037518</t>
  </si>
  <si>
    <t>0050010037588</t>
  </si>
  <si>
    <t>0050010004815</t>
  </si>
  <si>
    <t>0050010004816</t>
  </si>
  <si>
    <t>0050010037735</t>
  </si>
  <si>
    <t>0050010037863</t>
  </si>
  <si>
    <t>0050010037864</t>
  </si>
  <si>
    <t>1001815578001</t>
  </si>
  <si>
    <t>CHICAIZA VUELE NARCISA ELIZABETH</t>
  </si>
  <si>
    <t>0050010036247</t>
  </si>
  <si>
    <t>1707882906001</t>
  </si>
  <si>
    <t>COBO MENDEZ ANA PATRICIA</t>
  </si>
  <si>
    <t>0050010035867</t>
  </si>
  <si>
    <t>0050010036396</t>
  </si>
  <si>
    <t>2390023874001</t>
  </si>
  <si>
    <t>COMERCIAL LA FERIA HLS CIA. LTDA</t>
  </si>
  <si>
    <t>0050010037516</t>
  </si>
  <si>
    <t>0050010037474</t>
  </si>
  <si>
    <t>0050010037475</t>
  </si>
  <si>
    <t>0050010037748</t>
  </si>
  <si>
    <t>0050010037749</t>
  </si>
  <si>
    <t>0050010037750</t>
  </si>
  <si>
    <t>1793061249001</t>
  </si>
  <si>
    <t>COMISARIATO ELSITIO C.L.</t>
  </si>
  <si>
    <t>0050010037573</t>
  </si>
  <si>
    <t>1792039711001</t>
  </si>
  <si>
    <t>CONFITERIA NANCITAS</t>
  </si>
  <si>
    <t>0050010037436</t>
  </si>
  <si>
    <t>0190386252001</t>
  </si>
  <si>
    <t>CONORQUE CIA.LTDA.</t>
  </si>
  <si>
    <t>0050010036734</t>
  </si>
  <si>
    <t>0050010036859</t>
  </si>
  <si>
    <t>0050010037446</t>
  </si>
  <si>
    <t>0050010037867</t>
  </si>
  <si>
    <t>1708125206001</t>
  </si>
  <si>
    <t>CORNEJO ALBAN NATALIA MONSERRAT</t>
  </si>
  <si>
    <t>0050010036617</t>
  </si>
  <si>
    <t>0990004196001</t>
  </si>
  <si>
    <t>CORPORACION EL ROSADO S.A.</t>
  </si>
  <si>
    <t>0050010037572</t>
  </si>
  <si>
    <t>Net 50 Days</t>
  </si>
  <si>
    <t>MOD</t>
  </si>
  <si>
    <t>0050010037669</t>
  </si>
  <si>
    <t>0050010037795</t>
  </si>
  <si>
    <t>1790016919001</t>
  </si>
  <si>
    <t>CORPORACION FAVORITA C.A.</t>
  </si>
  <si>
    <t>0050010036986</t>
  </si>
  <si>
    <t>0050010036988</t>
  </si>
  <si>
    <t>0050010037238</t>
  </si>
  <si>
    <t>0050010037239</t>
  </si>
  <si>
    <t>0050010037384</t>
  </si>
  <si>
    <t>0050010037523</t>
  </si>
  <si>
    <t>0050010037524</t>
  </si>
  <si>
    <t>0050010037781</t>
  </si>
  <si>
    <t>0050010037782</t>
  </si>
  <si>
    <t>0992791519001</t>
  </si>
  <si>
    <t>CORPORACION PAÑORA S.A. CORPAÑORA</t>
  </si>
  <si>
    <t>0050010037699</t>
  </si>
  <si>
    <t>0050010037700</t>
  </si>
  <si>
    <t>0050010037701</t>
  </si>
  <si>
    <t>0050010037702</t>
  </si>
  <si>
    <t>0050010037703</t>
  </si>
  <si>
    <t>0992791519</t>
  </si>
  <si>
    <t>0050010036877</t>
  </si>
  <si>
    <t>2350024283001</t>
  </si>
  <si>
    <t>CUEVA GUAICHA JHONNY FRANKLIN</t>
  </si>
  <si>
    <t>0050010037906</t>
  </si>
  <si>
    <t>1191796721001</t>
  </si>
  <si>
    <t>DCJC CONFI SNACKS S.A.S.</t>
  </si>
  <si>
    <t>0050010037816</t>
  </si>
  <si>
    <t>0050010004840</t>
  </si>
  <si>
    <t>1719162560001</t>
  </si>
  <si>
    <t>DELGADO MONTENEGRO LEYDI CRISTINA</t>
  </si>
  <si>
    <t>0050010036395</t>
  </si>
  <si>
    <t>1391932477001</t>
  </si>
  <si>
    <t>DISCONFI S.A.S.</t>
  </si>
  <si>
    <t>0050010037605</t>
  </si>
  <si>
    <t>0050010037881</t>
  </si>
  <si>
    <t>0993366682001</t>
  </si>
  <si>
    <t>DISPROVILL JFVR S.A.S.</t>
  </si>
  <si>
    <t>0050010037292</t>
  </si>
  <si>
    <t>0050010037460</t>
  </si>
  <si>
    <t>0050010037557</t>
  </si>
  <si>
    <t>0050010037691</t>
  </si>
  <si>
    <t>0050010037837</t>
  </si>
  <si>
    <t>0691750922001</t>
  </si>
  <si>
    <t>DISTRIBUIDORA BASTIDAS VILLACIS BASVIMA</t>
  </si>
  <si>
    <t>0050010037178</t>
  </si>
  <si>
    <t>0050010037582</t>
  </si>
  <si>
    <t>0050010037583</t>
  </si>
  <si>
    <t>0491518103001</t>
  </si>
  <si>
    <t>DISTRIBUIDORA DULKY</t>
  </si>
  <si>
    <t>0050010037366</t>
  </si>
  <si>
    <t>P</t>
  </si>
  <si>
    <t>0050010037391</t>
  </si>
  <si>
    <t>1391871260001</t>
  </si>
  <si>
    <t>DISTRIBUIDORAGUIZAM CIA LTDA</t>
  </si>
  <si>
    <t>0050010037567</t>
  </si>
  <si>
    <t>0050010037874</t>
  </si>
  <si>
    <t>1306280775001</t>
  </si>
  <si>
    <t>DOMINGUEZ REYES LUIS ALBERTO</t>
  </si>
  <si>
    <t>0050010037258</t>
  </si>
  <si>
    <t>0050010004818</t>
  </si>
  <si>
    <t>0050010037761</t>
  </si>
  <si>
    <t>1725925711001</t>
  </si>
  <si>
    <t>DURAN ANGULO CARLOS LENIN</t>
  </si>
  <si>
    <t>0050010037766</t>
  </si>
  <si>
    <t>1791715772001</t>
  </si>
  <si>
    <t>ECONOFARM S.A.</t>
  </si>
  <si>
    <t>0050010033715</t>
  </si>
  <si>
    <t>0050010033865</t>
  </si>
  <si>
    <t>0050010034258</t>
  </si>
  <si>
    <t>0050010037119</t>
  </si>
  <si>
    <t>0050010037235</t>
  </si>
  <si>
    <t>0050010037641</t>
  </si>
  <si>
    <t>1000590214</t>
  </si>
  <si>
    <t>FALCON CEVALLOS GLORIA CARLOTA</t>
  </si>
  <si>
    <t>0050010037670</t>
  </si>
  <si>
    <t>1790710319001</t>
  </si>
  <si>
    <t>FARMACIAS Y COMISARIATOS DE MEDICINAS</t>
  </si>
  <si>
    <t>0050010004611</t>
  </si>
  <si>
    <t>0050010035043</t>
  </si>
  <si>
    <t>0050010037117</t>
  </si>
  <si>
    <t>0050010037236</t>
  </si>
  <si>
    <t>0050010004812</t>
  </si>
  <si>
    <t>0050010004813</t>
  </si>
  <si>
    <t>0050010004814</t>
  </si>
  <si>
    <t>0050010037639</t>
  </si>
  <si>
    <t>0702257809001</t>
  </si>
  <si>
    <t>FEIJO AGUILAR GALO CESAR</t>
  </si>
  <si>
    <t>0050010037824</t>
  </si>
  <si>
    <t>1205982257001</t>
  </si>
  <si>
    <t>FERNANDEZ BARREIRO JOHANNA ALEXANDRA</t>
  </si>
  <si>
    <t>0050010037608</t>
  </si>
  <si>
    <t>0926463134001</t>
  </si>
  <si>
    <t>FERNANDEZ CUJILEMA DAVID ERNESTO</t>
  </si>
  <si>
    <t>0050010037829</t>
  </si>
  <si>
    <t>1804938643001</t>
  </si>
  <si>
    <t>FLORES GUAMAN EVELYN TATIANA</t>
  </si>
  <si>
    <t>0050010037466</t>
  </si>
  <si>
    <t>0050010037741</t>
  </si>
  <si>
    <t>02019007680001</t>
  </si>
  <si>
    <t>GALEAS ESPIN EDWIN</t>
  </si>
  <si>
    <t>0050010037591</t>
  </si>
  <si>
    <t>0050010037788</t>
  </si>
  <si>
    <t>1316492501001</t>
  </si>
  <si>
    <t>GARCIA PONCE WASHINGTON JAVIER</t>
  </si>
  <si>
    <t>0050010037875</t>
  </si>
  <si>
    <t>0602368797001</t>
  </si>
  <si>
    <t>GARCIA UVIDIA DIEGO ALEJANDRO</t>
  </si>
  <si>
    <t>0050010037047</t>
  </si>
  <si>
    <t>0050010037300</t>
  </si>
  <si>
    <t>0050010037719</t>
  </si>
  <si>
    <t>0050010037848</t>
  </si>
  <si>
    <t>1720563319001</t>
  </si>
  <si>
    <t>GAROFALO VERDEZOTO RONALD OSWALDO</t>
  </si>
  <si>
    <t>0050010037089</t>
  </si>
  <si>
    <t>0050010037215</t>
  </si>
  <si>
    <t>0050010037477</t>
  </si>
  <si>
    <t>0050010037602</t>
  </si>
  <si>
    <t>0050010037754</t>
  </si>
  <si>
    <t>0050010037872</t>
  </si>
  <si>
    <t>1202161822001</t>
  </si>
  <si>
    <t>GAVILANES VEGA FREDDY ALBERTO</t>
  </si>
  <si>
    <t>0050010037732</t>
  </si>
  <si>
    <t>0190072002001</t>
  </si>
  <si>
    <t>GERARDO ORTIZ E HIJOS CIA LTDA</t>
  </si>
  <si>
    <t>0050010035846</t>
  </si>
  <si>
    <t>0050010035847</t>
  </si>
  <si>
    <t>0050010035850</t>
  </si>
  <si>
    <t>0050010035851</t>
  </si>
  <si>
    <t>0050010036363</t>
  </si>
  <si>
    <t>0050010036365</t>
  </si>
  <si>
    <t>0050010036366</t>
  </si>
  <si>
    <t>0050010036368</t>
  </si>
  <si>
    <t>0050010036512</t>
  </si>
  <si>
    <t>0050010036513</t>
  </si>
  <si>
    <t>0050010036514</t>
  </si>
  <si>
    <t>0050010036515</t>
  </si>
  <si>
    <t>0050010036519</t>
  </si>
  <si>
    <t>0050010036520</t>
  </si>
  <si>
    <t>0050010036528</t>
  </si>
  <si>
    <t>0050010036628</t>
  </si>
  <si>
    <t>0050010036629</t>
  </si>
  <si>
    <t>0050010036630</t>
  </si>
  <si>
    <t>0050010036631</t>
  </si>
  <si>
    <t>0050010036632</t>
  </si>
  <si>
    <t>0050010036633</t>
  </si>
  <si>
    <t>0050010036634</t>
  </si>
  <si>
    <t>0050010036635</t>
  </si>
  <si>
    <t>0050010036636</t>
  </si>
  <si>
    <t>0050010036637</t>
  </si>
  <si>
    <t>0050010036752</t>
  </si>
  <si>
    <t>0050010036753</t>
  </si>
  <si>
    <t>0050010036754</t>
  </si>
  <si>
    <t>0050010036755</t>
  </si>
  <si>
    <t>0050010036756</t>
  </si>
  <si>
    <t>0050010036757</t>
  </si>
  <si>
    <t>0050010036758</t>
  </si>
  <si>
    <t>0050010036759</t>
  </si>
  <si>
    <t>0050010004827</t>
  </si>
  <si>
    <t>Net 60 Days</t>
  </si>
  <si>
    <t>0050010004828</t>
  </si>
  <si>
    <t>0050010004829</t>
  </si>
  <si>
    <t>0925114340001</t>
  </si>
  <si>
    <t>GOMEZ VARGAS ALVARO MIJAIL</t>
  </si>
  <si>
    <t>0050010037693</t>
  </si>
  <si>
    <t>0050010037838</t>
  </si>
  <si>
    <t>1803238623001</t>
  </si>
  <si>
    <t>GORDON ESPINOZA ALVARO NOLBERTO</t>
  </si>
  <si>
    <t>0050010037470</t>
  </si>
  <si>
    <t>0050010037620</t>
  </si>
  <si>
    <t>2300530710001</t>
  </si>
  <si>
    <t>GUALPA ESTEVEZ GENESIS ANAHI</t>
  </si>
  <si>
    <t>0050010037478</t>
  </si>
  <si>
    <t>0050010037601</t>
  </si>
  <si>
    <t>0050010037753</t>
  </si>
  <si>
    <t>0050010037873</t>
  </si>
  <si>
    <t>0922577770001</t>
  </si>
  <si>
    <t>GUILLEN ACOSTA MARVIN SANTIAGO</t>
  </si>
  <si>
    <t>0050010037831</t>
  </si>
  <si>
    <t>0702910324001</t>
  </si>
  <si>
    <t>GUZMAN APOLO JOSELITO BALTAZAR</t>
  </si>
  <si>
    <t>0050010037899</t>
  </si>
  <si>
    <t>1705024212001</t>
  </si>
  <si>
    <t>HERRERA MARIA CECILIA</t>
  </si>
  <si>
    <t>0050010037862</t>
  </si>
  <si>
    <t>1720380839001</t>
  </si>
  <si>
    <t>IMBA LLIQUIN GRIMANEZA DEL PILAR</t>
  </si>
  <si>
    <t>0050010037765</t>
  </si>
  <si>
    <t>2390055563001</t>
  </si>
  <si>
    <t>IMPORTAMAXIECUADOR S.A.S.</t>
  </si>
  <si>
    <t>0050010035809</t>
  </si>
  <si>
    <t>ABO</t>
  </si>
  <si>
    <t>0050010035943</t>
  </si>
  <si>
    <t>0704482652001</t>
  </si>
  <si>
    <t>INFANTE ASTUDILLO EVELYN JACKELINE</t>
  </si>
  <si>
    <t>0050010037210</t>
  </si>
  <si>
    <t>1707860803001</t>
  </si>
  <si>
    <t>INTRIAGO MOREIRA HUGO VALDEMAR</t>
  </si>
  <si>
    <t>0050010037514</t>
  </si>
  <si>
    <t>1390149707001</t>
  </si>
  <si>
    <t>INVERAGROCORP S.A.</t>
  </si>
  <si>
    <t>0050010037650</t>
  </si>
  <si>
    <t>0050010037667</t>
  </si>
  <si>
    <t>1204364820001</t>
  </si>
  <si>
    <t>JARA PAREDES JAVIER OCTAVIO</t>
  </si>
  <si>
    <t>0050010037369</t>
  </si>
  <si>
    <t>0050010037778</t>
  </si>
  <si>
    <t>1803653508001</t>
  </si>
  <si>
    <t>JARAMILLO GONZALEZ JULIO CESAR</t>
  </si>
  <si>
    <t>0050010037341</t>
  </si>
  <si>
    <t>0050010037853</t>
  </si>
  <si>
    <t>1104031917001</t>
  </si>
  <si>
    <t>JARAMILLO RUEDA MANUEL ALEJANDRO</t>
  </si>
  <si>
    <t>0050010037817</t>
  </si>
  <si>
    <t>0301484168001</t>
  </si>
  <si>
    <t>JIMENEZ SANTANDER CESAR VIRGILIO</t>
  </si>
  <si>
    <t>0050010037671</t>
  </si>
  <si>
    <t>1103451975001</t>
  </si>
  <si>
    <t>JUMBO CASTILLO MARIA CECILIA</t>
  </si>
  <si>
    <t>0050010037812</t>
  </si>
  <si>
    <t>0940910946001</t>
  </si>
  <si>
    <t>LEAL BARZOLA GUILLERMO ANDRES</t>
  </si>
  <si>
    <t>0050010037685</t>
  </si>
  <si>
    <t>0050010037832</t>
  </si>
  <si>
    <t>0926827049001</t>
  </si>
  <si>
    <t>LEON BRIAN SUGEY JAZMIN</t>
  </si>
  <si>
    <t>0050010037649</t>
  </si>
  <si>
    <t>1713619060001</t>
  </si>
  <si>
    <t>LOGROÑO ACOSTA NANCY PAULINA</t>
  </si>
  <si>
    <t>0050010037438</t>
  </si>
  <si>
    <t>0201064896001</t>
  </si>
  <si>
    <t>LOMBEIDA GONZALEZ WILSON BAYARDO</t>
  </si>
  <si>
    <t>0050010037714</t>
  </si>
  <si>
    <t>0302527510001</t>
  </si>
  <si>
    <t>LOOR SOLORZANO CRISTIAN MANUEL</t>
  </si>
  <si>
    <t>0050010037680</t>
  </si>
  <si>
    <t>1715679997001</t>
  </si>
  <si>
    <t>LOPEZ PANDO CARMEN CECILIA</t>
  </si>
  <si>
    <t>0050010037009</t>
  </si>
  <si>
    <t>0916593866001</t>
  </si>
  <si>
    <t>LORENTI LAJE AMALIA</t>
  </si>
  <si>
    <t>0050010037689</t>
  </si>
  <si>
    <t>1802683357001</t>
  </si>
  <si>
    <t>MARTINEZ TORRES YESENIA DEL ROCIO</t>
  </si>
  <si>
    <t>0050010037794</t>
  </si>
  <si>
    <t>2390629446001</t>
  </si>
  <si>
    <t>MAXICLEAN S.A.S.</t>
  </si>
  <si>
    <t>0050010037600</t>
  </si>
  <si>
    <t>0050010037752</t>
  </si>
  <si>
    <t>0050010037884</t>
  </si>
  <si>
    <t>1600607145001</t>
  </si>
  <si>
    <t>MAYORGA MEJIA DARLEY PAUL</t>
  </si>
  <si>
    <t>0050010037820</t>
  </si>
  <si>
    <t>1792060346001</t>
  </si>
  <si>
    <t>MEGASANTAMARIA S.A.</t>
  </si>
  <si>
    <t>0050010037180</t>
  </si>
  <si>
    <t>0050010037303</t>
  </si>
  <si>
    <t>0050010037439</t>
  </si>
  <si>
    <t>0050010037580</t>
  </si>
  <si>
    <t>0050010037704</t>
  </si>
  <si>
    <t>0050010037842</t>
  </si>
  <si>
    <t>1710985209001</t>
  </si>
  <si>
    <t>MELO ROMAN MONICA SOLEDAD</t>
  </si>
  <si>
    <t>0050010037205</t>
  </si>
  <si>
    <t>0050010004785</t>
  </si>
  <si>
    <t>0050010037351</t>
  </si>
  <si>
    <t>0050010037598</t>
  </si>
  <si>
    <t>0050010037747</t>
  </si>
  <si>
    <t>0050010037869</t>
  </si>
  <si>
    <t>1709697070001</t>
  </si>
  <si>
    <t>MENA ACOSTA JORGE SALOMON</t>
  </si>
  <si>
    <t>0050010037339</t>
  </si>
  <si>
    <t>0050010037740</t>
  </si>
  <si>
    <t>0050010037893</t>
  </si>
  <si>
    <t>1712233756001</t>
  </si>
  <si>
    <t>MESIAS ESTEVEZ EVELYN SALOME</t>
  </si>
  <si>
    <t>0050010037200</t>
  </si>
  <si>
    <t>0050010037454</t>
  </si>
  <si>
    <t>0050010037467</t>
  </si>
  <si>
    <t>0050010037742</t>
  </si>
  <si>
    <t>0050010037897</t>
  </si>
  <si>
    <t>1793189734001</t>
  </si>
  <si>
    <t>MOLIVENT S.A.S.</t>
  </si>
  <si>
    <t>0050010037668</t>
  </si>
  <si>
    <t>0050010037767</t>
  </si>
  <si>
    <t>0050010037802</t>
  </si>
  <si>
    <t>1103912372001</t>
  </si>
  <si>
    <t>MONTAÑO MONTAÑO FABIAN RIGOBERTO</t>
  </si>
  <si>
    <t>0050010037818</t>
  </si>
  <si>
    <t>0917619843001</t>
  </si>
  <si>
    <t>MONTES SUAREZ WILLIAM</t>
  </si>
  <si>
    <t>0050010037551</t>
  </si>
  <si>
    <t>0050010037799</t>
  </si>
  <si>
    <t>0801876947001</t>
  </si>
  <si>
    <t>MORALES AGUILAR GUSTAVO</t>
  </si>
  <si>
    <t>0050010037403</t>
  </si>
  <si>
    <t>0050010004806</t>
  </si>
  <si>
    <t>0050010037762</t>
  </si>
  <si>
    <t>1708012883001</t>
  </si>
  <si>
    <t>MORALES HARO PEDRO JOSELITO</t>
  </si>
  <si>
    <t>0050010036947</t>
  </si>
  <si>
    <t>0050010037081</t>
  </si>
  <si>
    <t>0050010037203</t>
  </si>
  <si>
    <t>0050010037365</t>
  </si>
  <si>
    <t>0050010037471</t>
  </si>
  <si>
    <t>0050010037609</t>
  </si>
  <si>
    <t>0050010037737</t>
  </si>
  <si>
    <t>0050010037885</t>
  </si>
  <si>
    <t>1716334659001</t>
  </si>
  <si>
    <t>MORALES RAMOS LUIS CARLOS</t>
  </si>
  <si>
    <t>0050010025273</t>
  </si>
  <si>
    <t>05025318666001</t>
  </si>
  <si>
    <t>MOREIRA SALAZAR LIGIA IRIS</t>
  </si>
  <si>
    <t>0050010037717</t>
  </si>
  <si>
    <t>1803941143001</t>
  </si>
  <si>
    <t>MORETA MOPOSITA FERNANDO JAVIER</t>
  </si>
  <si>
    <t>0050010036494</t>
  </si>
  <si>
    <t>0924193436001</t>
  </si>
  <si>
    <t>MOSQUERA WONG LAURA CECILIA</t>
  </si>
  <si>
    <t>0050010037880</t>
  </si>
  <si>
    <t>0491521457001</t>
  </si>
  <si>
    <t>MULTIPRODUCTOS</t>
  </si>
  <si>
    <t>0050010037255</t>
  </si>
  <si>
    <t>0050010037793</t>
  </si>
  <si>
    <t>0591718215001</t>
  </si>
  <si>
    <t>MULTISA CENTRO DE ACOPIO Y DISTRIBUCION</t>
  </si>
  <si>
    <t>0050010037771</t>
  </si>
  <si>
    <t>1705428942001</t>
  </si>
  <si>
    <t>MURILLO RODRIGUEZ GLADYS DEL ROCIO</t>
  </si>
  <si>
    <t>0050010037859</t>
  </si>
  <si>
    <t>0103877742001</t>
  </si>
  <si>
    <t>ORTIZ CORDERO LOURDES BEATRIZ</t>
  </si>
  <si>
    <t>0050010037678</t>
  </si>
  <si>
    <t>0050010037845</t>
  </si>
  <si>
    <t>0104208517</t>
  </si>
  <si>
    <t>PACHO MORALES CARLOS VINICIO</t>
  </si>
  <si>
    <t>0050010037860</t>
  </si>
  <si>
    <t>0302596929001</t>
  </si>
  <si>
    <t>PALACIOS CADME ANDREA CRISTINA</t>
  </si>
  <si>
    <t>0050010037846</t>
  </si>
  <si>
    <t>1803216256</t>
  </si>
  <si>
    <t>PANIMBOZA GUERRERO EDISON VICENTE</t>
  </si>
  <si>
    <t>0050010037343</t>
  </si>
  <si>
    <t>0050010037894</t>
  </si>
  <si>
    <t>1723898258001</t>
  </si>
  <si>
    <t>PAREDES PAZMIÑO MAYRA ALEXANDRA</t>
  </si>
  <si>
    <t>0050010037465</t>
  </si>
  <si>
    <t>0050010037745</t>
  </si>
  <si>
    <t>1722654405001</t>
  </si>
  <si>
    <t>PAZMIÑO TAPIA NANCY TATIANA</t>
  </si>
  <si>
    <t>0050010036337</t>
  </si>
  <si>
    <t>1091792806001</t>
  </si>
  <si>
    <t>PLASTICOS Y SUPERMERCADOS SAN JOSE S.C.</t>
  </si>
  <si>
    <t>0050010035981</t>
  </si>
  <si>
    <t>0050010036246</t>
  </si>
  <si>
    <t>0102087111001</t>
  </si>
  <si>
    <t>POLO ANDRADE DIEGO ALFREDO</t>
  </si>
  <si>
    <t>0050010004835</t>
  </si>
  <si>
    <t>0050010037907</t>
  </si>
  <si>
    <t>1718059155001</t>
  </si>
  <si>
    <t>PONCE ESPINEL MARIA JOSE</t>
  </si>
  <si>
    <t>0050010037392</t>
  </si>
  <si>
    <t>0400691697001</t>
  </si>
  <si>
    <t>PORTILLA ENRIQUEZ MELVA SUSANA</t>
  </si>
  <si>
    <t>0050010036806</t>
  </si>
  <si>
    <t>0050010037010</t>
  </si>
  <si>
    <t>0050010037370</t>
  </si>
  <si>
    <t>1710428028001</t>
  </si>
  <si>
    <t>POZO RECALDE JUAN CARLOS</t>
  </si>
  <si>
    <t>0050010036766</t>
  </si>
  <si>
    <t>0050010036767</t>
  </si>
  <si>
    <t>0050010036768</t>
  </si>
  <si>
    <t>0050010036805</t>
  </si>
  <si>
    <t>0050010037138</t>
  </si>
  <si>
    <t>1712478997001</t>
  </si>
  <si>
    <t>PULLUPAXI JAMI ANA LUCIA</t>
  </si>
  <si>
    <t>0050010037190</t>
  </si>
  <si>
    <t>0050010037367</t>
  </si>
  <si>
    <t>1103073894001</t>
  </si>
  <si>
    <t>QUICHIMBO DIAZ CENELIA DEL CISNE</t>
  </si>
  <si>
    <t>0050010004771</t>
  </si>
  <si>
    <t>0050010037441</t>
  </si>
  <si>
    <t>0050010037803</t>
  </si>
  <si>
    <t>1709779712001</t>
  </si>
  <si>
    <t>RAMIREZ TENECELA EDISON ORLANDO</t>
  </si>
  <si>
    <t>0050010036132</t>
  </si>
  <si>
    <t>1102814678001</t>
  </si>
  <si>
    <t>RAMIREZ WILSON GIOVANNI</t>
  </si>
  <si>
    <t>0050010037819</t>
  </si>
  <si>
    <t>1309523015001</t>
  </si>
  <si>
    <t>REYES VIVAS ROBERTO</t>
  </si>
  <si>
    <t>0050010037489</t>
  </si>
  <si>
    <t>0050010037763</t>
  </si>
  <si>
    <t>1303690455001</t>
  </si>
  <si>
    <t>REYNA ZAMBRANO LUCIA ALFREDINA</t>
  </si>
  <si>
    <t>0050010037764</t>
  </si>
  <si>
    <t>0050010037879</t>
  </si>
  <si>
    <t>0604651984</t>
  </si>
  <si>
    <t>RIVERA CAJAS CRISTINA VIVIANA</t>
  </si>
  <si>
    <t>0050010037739</t>
  </si>
  <si>
    <t>0050010037896</t>
  </si>
  <si>
    <t>0914342738001</t>
  </si>
  <si>
    <t>RIVERA PLUAS MARIA MATILDE</t>
  </si>
  <si>
    <t>0050010037548</t>
  </si>
  <si>
    <t>0050010037684</t>
  </si>
  <si>
    <t>0050010037833</t>
  </si>
  <si>
    <t>0915236467001</t>
  </si>
  <si>
    <t>ROBLES NIETO ROQUE ARCENIO</t>
  </si>
  <si>
    <t>0050010037521</t>
  </si>
  <si>
    <t>0050010037556</t>
  </si>
  <si>
    <t>0050010037692</t>
  </si>
  <si>
    <t>0050010037839</t>
  </si>
  <si>
    <t>0927361212001</t>
  </si>
  <si>
    <t>ROCA BELTRAN WLADIMIR ANDRES</t>
  </si>
  <si>
    <t>0050010037498</t>
  </si>
  <si>
    <t>0501909832001</t>
  </si>
  <si>
    <t>ROCHA TOCA MILTON RODOLFO</t>
  </si>
  <si>
    <t>0050010037743</t>
  </si>
  <si>
    <t>0050010037895</t>
  </si>
  <si>
    <t>0940538002001</t>
  </si>
  <si>
    <t>RODRIGUEZ CORONEL ANGEL ALBERTO</t>
  </si>
  <si>
    <t>0050010037804</t>
  </si>
  <si>
    <t>1722971254001</t>
  </si>
  <si>
    <t>RODRIGUEZ PADILLA ANDREA CARMEN</t>
  </si>
  <si>
    <t>0050010037584</t>
  </si>
  <si>
    <t>0050010037773</t>
  </si>
  <si>
    <t>1712040367001</t>
  </si>
  <si>
    <t>RODRIGUEZ RODRIGUEZ FABIAN JAVIER</t>
  </si>
  <si>
    <t>0050010037792</t>
  </si>
  <si>
    <t>0400485397001</t>
  </si>
  <si>
    <t>RODRIGUEZ ROSERO MIROSLAVA LOURDES</t>
  </si>
  <si>
    <t>0050010036140</t>
  </si>
  <si>
    <t>0050010036394</t>
  </si>
  <si>
    <t>1314274422001</t>
  </si>
  <si>
    <t>ROJAS VILLAMIL EDUARDO ANDRES</t>
  </si>
  <si>
    <t>0050010037607</t>
  </si>
  <si>
    <t>0050010037878</t>
  </si>
  <si>
    <t>0104604566001</t>
  </si>
  <si>
    <t>ROLDAN MORALES EDWIN VINICIO</t>
  </si>
  <si>
    <t>0050010037901</t>
  </si>
  <si>
    <t>0050010037902</t>
  </si>
  <si>
    <t>1891752446001</t>
  </si>
  <si>
    <t>ROSENDO GUAMAN CIA. LTDA.</t>
  </si>
  <si>
    <t>0050010037251</t>
  </si>
  <si>
    <t>0050010037657</t>
  </si>
  <si>
    <t>1707225494001</t>
  </si>
  <si>
    <t>RUGEL HILDA MARGOTH</t>
  </si>
  <si>
    <t>0050010037082</t>
  </si>
  <si>
    <t>0050010037204</t>
  </si>
  <si>
    <t>0050010037352</t>
  </si>
  <si>
    <t>0050010037472</t>
  </si>
  <si>
    <t>0050010037597</t>
  </si>
  <si>
    <t>0050010037746</t>
  </si>
  <si>
    <t>0050010037868</t>
  </si>
  <si>
    <t>1103069595001</t>
  </si>
  <si>
    <t>SAMANIEGO TANDAZO BLADIMIR FELIX</t>
  </si>
  <si>
    <t>0050010037481</t>
  </si>
  <si>
    <t>1804002333</t>
  </si>
  <si>
    <t>SANCHEZ ALBAN JENNY VICTORIA</t>
  </si>
  <si>
    <t>0050010023544</t>
  </si>
  <si>
    <t>Net 0 Days</t>
  </si>
  <si>
    <t>0050010023664</t>
  </si>
  <si>
    <t>1091759965001</t>
  </si>
  <si>
    <t>SANTA ANITA DEL CARMEN ABASTOS Y CONFIT</t>
  </si>
  <si>
    <t>0050010036500</t>
  </si>
  <si>
    <t>0952033652</t>
  </si>
  <si>
    <t>SANTANA SUAREZ JESUS ALBERTO</t>
  </si>
  <si>
    <t>0050010037688</t>
  </si>
  <si>
    <t>1717999443001</t>
  </si>
  <si>
    <t>SARABIA RUBIO BETTY CRISTINA</t>
  </si>
  <si>
    <t>0050010037768</t>
  </si>
  <si>
    <t>1727005660001</t>
  </si>
  <si>
    <t>SARANGO VASQUEZ ROBINSON RODRIGO</t>
  </si>
  <si>
    <t>0050010037221</t>
  </si>
  <si>
    <t>1206729350001</t>
  </si>
  <si>
    <t>SEGOVIA CHALAR WELLINGTON EUFRACIO</t>
  </si>
  <si>
    <t>0050010037262</t>
  </si>
  <si>
    <t>0691760138001</t>
  </si>
  <si>
    <t>SOCIEDAD COMERCIAL MINERVA</t>
  </si>
  <si>
    <t>0050010037302</t>
  </si>
  <si>
    <t>0050010037851</t>
  </si>
  <si>
    <t>0919101394001</t>
  </si>
  <si>
    <t>SOLIS GAIBOR CESAR AUGUSTO</t>
  </si>
  <si>
    <t>0050010037558</t>
  </si>
  <si>
    <t>0050010037698</t>
  </si>
  <si>
    <t>1708037997001</t>
  </si>
  <si>
    <t>SOTO MATAILO FRANKLIN MELECIO</t>
  </si>
  <si>
    <t>0050010037789</t>
  </si>
  <si>
    <t>1713182382001</t>
  </si>
  <si>
    <t>SOTO MESIAS SILVIA MARLENE</t>
  </si>
  <si>
    <t>0050010037585</t>
  </si>
  <si>
    <t>0050010037720</t>
  </si>
  <si>
    <t>1709845828001</t>
  </si>
  <si>
    <t>SUAREZ HERRERA SANTOS PLUTARCO</t>
  </si>
  <si>
    <t>0050010037368</t>
  </si>
  <si>
    <t>1091796603001</t>
  </si>
  <si>
    <t>SUPERMERCADOS SAN MARTIN S.C.C.</t>
  </si>
  <si>
    <t>0050010037307</t>
  </si>
  <si>
    <t>1792448093001</t>
  </si>
  <si>
    <t>SUPERMERCADOS VIRGEN DEL QUINCHE</t>
  </si>
  <si>
    <t>0050010037193</t>
  </si>
  <si>
    <t>0603077330001</t>
  </si>
  <si>
    <t>TACURI HIERBABUENA MARIA ADELAIDA</t>
  </si>
  <si>
    <t>0050010037892</t>
  </si>
  <si>
    <t>1715419170001</t>
  </si>
  <si>
    <t>TAMAYO RECALDE VIVIANA ALEXANDRA</t>
  </si>
  <si>
    <t>0050010035838</t>
  </si>
  <si>
    <t>0050010035839</t>
  </si>
  <si>
    <t>0050010035863</t>
  </si>
  <si>
    <t>0050010035886</t>
  </si>
  <si>
    <t>0050010036375</t>
  </si>
  <si>
    <t>0050010036393</t>
  </si>
  <si>
    <t>0912777125001</t>
  </si>
  <si>
    <t>TAPIA TORRES EDGAR ALFONSO</t>
  </si>
  <si>
    <t>0050010037681</t>
  </si>
  <si>
    <t>0050010037826</t>
  </si>
  <si>
    <t>0702468745001</t>
  </si>
  <si>
    <t>TENECELA HUANGA SEGUNDO ABEL</t>
  </si>
  <si>
    <t>0050010037156</t>
  </si>
  <si>
    <t>0050010037417</t>
  </si>
  <si>
    <t>1792239710001</t>
  </si>
  <si>
    <t>TIECONE S.A.</t>
  </si>
  <si>
    <t>0050010004613</t>
  </si>
  <si>
    <t>0050010037237</t>
  </si>
  <si>
    <t>0050010037640</t>
  </si>
  <si>
    <t>0990017514001</t>
  </si>
  <si>
    <t>TIENDAS INDUSTRIALES ASOCIADAS TIA S.A.</t>
  </si>
  <si>
    <t>0050010037146</t>
  </si>
  <si>
    <t>0050010037147</t>
  </si>
  <si>
    <t>0050010037821</t>
  </si>
  <si>
    <t>0050010037822</t>
  </si>
  <si>
    <t>1710878552001</t>
  </si>
  <si>
    <t>TIMBIANO CALLE ASHONAYDA DEL CARMEN</t>
  </si>
  <si>
    <t>0050010036765</t>
  </si>
  <si>
    <t>1705646477001</t>
  </si>
  <si>
    <t>TIPAN BARRENO HUGO NELSON</t>
  </si>
  <si>
    <t>0050010037581</t>
  </si>
  <si>
    <t>0050010037730</t>
  </si>
  <si>
    <t>1500380371001</t>
  </si>
  <si>
    <t>TORRES CAMPOVERDE MARIA ENCARNACION</t>
  </si>
  <si>
    <t>0050010037056</t>
  </si>
  <si>
    <t>0050010037182</t>
  </si>
  <si>
    <t>0050010037309</t>
  </si>
  <si>
    <t>0301565990001</t>
  </si>
  <si>
    <t>TORRES NARANJO DAVID GERARDO</t>
  </si>
  <si>
    <t>0050010037280</t>
  </si>
  <si>
    <t>0050010037419</t>
  </si>
  <si>
    <t>0050010037542</t>
  </si>
  <si>
    <t>0050010037679</t>
  </si>
  <si>
    <t>0050010037823</t>
  </si>
  <si>
    <t>1715298632001</t>
  </si>
  <si>
    <t>TUALA LOOR MONICA FERNANDA</t>
  </si>
  <si>
    <t>0050010037586</t>
  </si>
  <si>
    <t>0050010037734</t>
  </si>
  <si>
    <t>0050010037790</t>
  </si>
  <si>
    <t>1302887268001</t>
  </si>
  <si>
    <t>TUALA MOREIRA NATIVIDAD EUFERMIA</t>
  </si>
  <si>
    <t>0050010037652</t>
  </si>
  <si>
    <t>0102665163001</t>
  </si>
  <si>
    <t>ULLOA ARIZAGA JACINTO EDUARDO</t>
  </si>
  <si>
    <t>0050010037855</t>
  </si>
  <si>
    <t>0924315674001</t>
  </si>
  <si>
    <t>URETA PANTA LOURDES MARICEL</t>
  </si>
  <si>
    <t>0050010037562</t>
  </si>
  <si>
    <t>0503347403001</t>
  </si>
  <si>
    <t>VACA CORRALES LUIS MORALES</t>
  </si>
  <si>
    <t>0050010037530</t>
  </si>
  <si>
    <t>0604031351001</t>
  </si>
  <si>
    <t>VALLEJO PAZMIÑO CRISTIAN GEOVANNI</t>
  </si>
  <si>
    <t>0050010037371</t>
  </si>
  <si>
    <t>0914429220001</t>
  </si>
  <si>
    <t>VARGAS PLUAS LOURDES KARINA</t>
  </si>
  <si>
    <t>0050010037295</t>
  </si>
  <si>
    <t>0050010037459</t>
  </si>
  <si>
    <t>0050010037564</t>
  </si>
  <si>
    <t>0050010037697</t>
  </si>
  <si>
    <t>0050010037841</t>
  </si>
  <si>
    <t>1351664444001</t>
  </si>
  <si>
    <t>VELASQUEZ SAN ANDRES CARLOS ALFREDO</t>
  </si>
  <si>
    <t>0050010037098</t>
  </si>
  <si>
    <t>0702057324001</t>
  </si>
  <si>
    <t>VERA JARAMILLO GLORIA ESPERANZA</t>
  </si>
  <si>
    <t>0050010037755</t>
  </si>
  <si>
    <t>1724419278001</t>
  </si>
  <si>
    <t>VERA MOSQUERA NARCIZA LISETH</t>
  </si>
  <si>
    <t>0050010035977</t>
  </si>
  <si>
    <t>0050010036086</t>
  </si>
  <si>
    <t>0050010036217</t>
  </si>
  <si>
    <t>0050010036327</t>
  </si>
  <si>
    <t>1311731804001</t>
  </si>
  <si>
    <t>VERA PARRAGA JUAN HUMBERTO</t>
  </si>
  <si>
    <t>0050010037898</t>
  </si>
  <si>
    <t>0106541139001</t>
  </si>
  <si>
    <t>VERA SACAN CHRISTIAN JESUS</t>
  </si>
  <si>
    <t>0050010037900</t>
  </si>
  <si>
    <t>0905500799001</t>
  </si>
  <si>
    <t>VERA TIRCIO MARTHA CLEMENCIA</t>
  </si>
  <si>
    <t>0050010037553</t>
  </si>
  <si>
    <t>1803658101001</t>
  </si>
  <si>
    <t>VILLACIS LOPEZ VICTOR MANUEL</t>
  </si>
  <si>
    <t>0050010037407</t>
  </si>
  <si>
    <t>0050010037779</t>
  </si>
  <si>
    <t>1751568690001</t>
  </si>
  <si>
    <t>VILLACIS VILLAGOMEZ KARINA LISSETH</t>
  </si>
  <si>
    <t>0050010037308</t>
  </si>
  <si>
    <t>0913031613001</t>
  </si>
  <si>
    <t>VILLON MALAVE COLON DANIEL</t>
  </si>
  <si>
    <t>0050010037686</t>
  </si>
  <si>
    <t>1103688311001</t>
  </si>
  <si>
    <t>VIVANCO COBOS RUTH ELIZABETH</t>
  </si>
  <si>
    <t>0050010037813</t>
  </si>
  <si>
    <t>2100935986001</t>
  </si>
  <si>
    <t>VIVANCO PEREIRA YESSENIA PAOLA</t>
  </si>
  <si>
    <t>0050010037776</t>
  </si>
  <si>
    <t>1717838880</t>
  </si>
  <si>
    <t>VIVANCO TAPIA LUIS ALEJANDRO</t>
  </si>
  <si>
    <t>0050010036431</t>
  </si>
  <si>
    <t>1722350681001</t>
  </si>
  <si>
    <t>YAGUANA ENRIQUEZ VANESA MADELIN</t>
  </si>
  <si>
    <t>0050010037721</t>
  </si>
  <si>
    <t>0604351452001</t>
  </si>
  <si>
    <t>YUNGAN CUENCA LUIS GILBERTO</t>
  </si>
  <si>
    <t>0050010037181</t>
  </si>
  <si>
    <t>1303462426001</t>
  </si>
  <si>
    <t>ZAMBRANO ZAMORA WILSON JOSE</t>
  </si>
  <si>
    <t>0050010037876</t>
  </si>
  <si>
    <t>1306392927001</t>
  </si>
  <si>
    <t>ZAMORA GARCIA PEDRO JIMI</t>
  </si>
  <si>
    <t>0050010037357</t>
  </si>
  <si>
    <t>0050010037604</t>
  </si>
  <si>
    <t>0050010037877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</si>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</sst>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* ??"/>
    <numFmt numFmtId="165" formatCode="m/d/yy"/>
    <numFmt numFmtId="166" formatCode="0;\-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6"/>
  <sheetViews>
    <sheetView tabSelected="1" workbookViewId="0">
      <pane ySplit="1" topLeftCell="A470" activePane="bottomLeft" state="frozenSplit"/>
      <selection pane="bottomLeft" activeCell="I5" sqref="I5"/>
    </sheetView>
  </sheetViews>
  <sheetFormatPr baseColWidth="10" defaultRowHeight="12" x14ac:dyDescent="0.2"/>
  <cols>
    <col min="1" max="1" width="15" style="2" bestFit="1" customWidth="1"/>
    <col min="2" max="2" width="41.140625" style="2" bestFit="1" customWidth="1"/>
    <col min="3" max="3" width="14" style="2" bestFit="1" customWidth="1"/>
    <col min="4" max="5" width="9.85546875" style="6" bestFit="1" customWidth="1"/>
    <col min="6" max="6" width="8.85546875" style="6" bestFit="1" customWidth="1"/>
    <col min="7" max="7" width="13.140625" style="6" bestFit="1" customWidth="1"/>
    <col min="8" max="8" width="10.85546875" style="6" bestFit="1" customWidth="1"/>
    <col min="9" max="9" width="6.85546875" style="8" bestFit="1" customWidth="1"/>
    <col min="10" max="10" width="4.140625" style="10" bestFit="1" customWidth="1"/>
    <col min="11" max="11" width="6" style="2" bestFit="1" customWidth="1"/>
    <col min="12" max="12" width="10.5703125" style="2" bestFit="1" customWidth="1"/>
    <col min="13" max="13" width="13.28515625" style="2" bestFit="1" customWidth="1"/>
    <col min="14" max="16384" width="11.42578125" style="1"/>
  </cols>
  <sheetData>
    <row r="1" spans="1:13" s="13" customFormat="1" x14ac:dyDescent="0.2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1" t="s">
        <v>8</v>
      </c>
      <c r="J1" s="12" t="s">
        <v>9</v>
      </c>
      <c r="K1" s="11" t="s">
        <v>10</v>
      </c>
      <c r="L1" s="11" t="s">
        <v>11</v>
      </c>
      <c r="M1" s="1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6">
        <v>146.04</v>
      </c>
      <c r="H2" s="6">
        <v>146.04</v>
      </c>
      <c r="I2" s="8">
        <v>45152</v>
      </c>
      <c r="J2" s="10">
        <v>14</v>
      </c>
      <c r="K2" s="2" t="s">
        <v>16</v>
      </c>
      <c r="L2" s="2" t="s">
        <v>17</v>
      </c>
      <c r="M2" s="2" t="s">
        <v>18</v>
      </c>
    </row>
    <row r="3" spans="1:13" x14ac:dyDescent="0.2">
      <c r="A3" s="2" t="s">
        <v>13</v>
      </c>
      <c r="B3" s="2" t="s">
        <v>14</v>
      </c>
      <c r="C3" s="2" t="s">
        <v>19</v>
      </c>
      <c r="D3" s="6">
        <v>341.16</v>
      </c>
      <c r="H3" s="6">
        <v>341.16</v>
      </c>
      <c r="I3" s="8">
        <v>45152</v>
      </c>
      <c r="J3" s="10">
        <v>14</v>
      </c>
      <c r="K3" s="2" t="s">
        <v>16</v>
      </c>
      <c r="L3" s="2" t="s">
        <v>17</v>
      </c>
      <c r="M3" s="2" t="s">
        <v>18</v>
      </c>
    </row>
    <row r="4" spans="1:13" x14ac:dyDescent="0.2">
      <c r="A4" s="2" t="s">
        <v>13</v>
      </c>
      <c r="B4" s="2" t="s">
        <v>14</v>
      </c>
      <c r="C4" s="2" t="s">
        <v>20</v>
      </c>
      <c r="D4" s="6">
        <v>584.16</v>
      </c>
      <c r="H4" s="6">
        <v>584.16</v>
      </c>
      <c r="I4" s="8">
        <v>45152</v>
      </c>
      <c r="J4" s="10">
        <v>14</v>
      </c>
      <c r="K4" s="2" t="s">
        <v>16</v>
      </c>
      <c r="L4" s="2" t="s">
        <v>17</v>
      </c>
      <c r="M4" s="2" t="s">
        <v>18</v>
      </c>
    </row>
    <row r="5" spans="1:13" x14ac:dyDescent="0.2">
      <c r="A5" s="2" t="s">
        <v>13</v>
      </c>
      <c r="B5" s="2" t="s">
        <v>14</v>
      </c>
      <c r="C5" s="2" t="s">
        <v>21</v>
      </c>
      <c r="D5" s="6">
        <v>609.28</v>
      </c>
      <c r="H5" s="6">
        <v>609.28</v>
      </c>
      <c r="I5" s="8">
        <v>45162</v>
      </c>
      <c r="J5" s="10">
        <v>4</v>
      </c>
      <c r="K5" s="2" t="s">
        <v>16</v>
      </c>
      <c r="L5" s="2" t="s">
        <v>17</v>
      </c>
      <c r="M5" s="2" t="s">
        <v>18</v>
      </c>
    </row>
    <row r="6" spans="1:13" customFormat="1" ht="15" x14ac:dyDescent="0.25">
      <c r="D6" s="14"/>
      <c r="E6" s="14"/>
      <c r="F6" s="14"/>
      <c r="G6" s="14"/>
      <c r="H6" s="14"/>
    </row>
    <row r="7" spans="1:13" s="4" customFormat="1" x14ac:dyDescent="0.2">
      <c r="A7" s="3" t="s">
        <v>13</v>
      </c>
      <c r="B7" s="3" t="s">
        <v>14</v>
      </c>
      <c r="C7" s="3" t="s">
        <v>16</v>
      </c>
      <c r="D7" s="5">
        <f>SUBTOTAL(9, D2:D6)</f>
        <v>1680.64</v>
      </c>
      <c r="E7" s="5">
        <f>SUBTOTAL(9, E2:E6)</f>
        <v>0</v>
      </c>
      <c r="F7" s="5">
        <f>SUBTOTAL(9, F2:F6)</f>
        <v>0</v>
      </c>
      <c r="G7" s="5">
        <f>SUBTOTAL(9, G2:G6)</f>
        <v>0</v>
      </c>
      <c r="H7" s="5">
        <f>SUBTOTAL(9, H2:H6)</f>
        <v>1680.64</v>
      </c>
      <c r="I7" s="7"/>
      <c r="J7" s="9"/>
      <c r="K7" s="3" t="s">
        <v>16</v>
      </c>
      <c r="L7" s="3" t="s">
        <v>16</v>
      </c>
      <c r="M7" s="3" t="s">
        <v>18</v>
      </c>
    </row>
    <row r="8" spans="1:13" customFormat="1" ht="15" x14ac:dyDescent="0.25">
      <c r="D8" s="14"/>
      <c r="E8" s="14"/>
      <c r="F8" s="14"/>
      <c r="G8" s="14"/>
      <c r="H8" s="14"/>
    </row>
    <row r="9" spans="1:13" x14ac:dyDescent="0.2">
      <c r="A9" s="2" t="s">
        <v>22</v>
      </c>
      <c r="B9" s="2" t="s">
        <v>23</v>
      </c>
      <c r="C9" s="2" t="s">
        <v>24</v>
      </c>
      <c r="E9" s="6">
        <v>973.57</v>
      </c>
      <c r="H9" s="6">
        <v>973.57</v>
      </c>
      <c r="I9" s="8">
        <v>45147</v>
      </c>
      <c r="J9" s="10">
        <v>19</v>
      </c>
      <c r="K9" s="2" t="s">
        <v>16</v>
      </c>
      <c r="L9" s="2" t="s">
        <v>25</v>
      </c>
      <c r="M9" s="2" t="s">
        <v>26</v>
      </c>
    </row>
    <row r="10" spans="1:13" x14ac:dyDescent="0.2">
      <c r="A10" s="2" t="s">
        <v>22</v>
      </c>
      <c r="B10" s="2" t="s">
        <v>23</v>
      </c>
      <c r="C10" s="2" t="s">
        <v>27</v>
      </c>
      <c r="D10" s="6">
        <v>932.96</v>
      </c>
      <c r="H10" s="6">
        <v>932.96</v>
      </c>
      <c r="I10" s="8">
        <v>45155</v>
      </c>
      <c r="J10" s="10">
        <v>11</v>
      </c>
      <c r="K10" s="2" t="s">
        <v>16</v>
      </c>
      <c r="L10" s="2" t="s">
        <v>25</v>
      </c>
      <c r="M10" s="2" t="s">
        <v>26</v>
      </c>
    </row>
    <row r="11" spans="1:13" x14ac:dyDescent="0.2">
      <c r="A11" s="2" t="s">
        <v>22</v>
      </c>
      <c r="B11" s="2" t="s">
        <v>23</v>
      </c>
      <c r="C11" s="2" t="s">
        <v>28</v>
      </c>
      <c r="D11" s="6">
        <v>1132.8800000000001</v>
      </c>
      <c r="H11" s="6">
        <v>1132.8800000000001</v>
      </c>
      <c r="I11" s="8">
        <v>45162</v>
      </c>
      <c r="J11" s="10">
        <v>4</v>
      </c>
      <c r="K11" s="2" t="s">
        <v>16</v>
      </c>
      <c r="L11" s="2" t="s">
        <v>25</v>
      </c>
      <c r="M11" s="2" t="s">
        <v>26</v>
      </c>
    </row>
    <row r="12" spans="1:13" customFormat="1" ht="15" x14ac:dyDescent="0.25">
      <c r="D12" s="14"/>
      <c r="E12" s="14"/>
      <c r="F12" s="14"/>
      <c r="G12" s="14"/>
      <c r="H12" s="14"/>
    </row>
    <row r="13" spans="1:13" s="4" customFormat="1" x14ac:dyDescent="0.2">
      <c r="A13" s="3" t="s">
        <v>22</v>
      </c>
      <c r="B13" s="3" t="s">
        <v>23</v>
      </c>
      <c r="C13" s="3" t="s">
        <v>16</v>
      </c>
      <c r="D13" s="5">
        <f>SUBTOTAL(9, D9:D12)</f>
        <v>2065.84</v>
      </c>
      <c r="E13" s="5">
        <f>SUBTOTAL(9, E9:E12)</f>
        <v>973.57</v>
      </c>
      <c r="F13" s="5">
        <f>SUBTOTAL(9, F9:F12)</f>
        <v>0</v>
      </c>
      <c r="G13" s="5">
        <f>SUBTOTAL(9, G9:G12)</f>
        <v>0</v>
      </c>
      <c r="H13" s="5">
        <f>SUBTOTAL(9, H9:H12)</f>
        <v>3039.4100000000003</v>
      </c>
      <c r="I13" s="7"/>
      <c r="J13" s="9"/>
      <c r="K13" s="3" t="s">
        <v>16</v>
      </c>
      <c r="L13" s="3" t="s">
        <v>16</v>
      </c>
      <c r="M13" s="3" t="s">
        <v>26</v>
      </c>
    </row>
    <row r="14" spans="1:13" customFormat="1" ht="15" x14ac:dyDescent="0.25">
      <c r="D14" s="14"/>
      <c r="E14" s="14"/>
      <c r="F14" s="14"/>
      <c r="G14" s="14"/>
      <c r="H14" s="14"/>
    </row>
    <row r="15" spans="1:13" x14ac:dyDescent="0.2">
      <c r="A15" s="2" t="s">
        <v>29</v>
      </c>
      <c r="B15" s="2" t="s">
        <v>30</v>
      </c>
      <c r="C15" s="2" t="s">
        <v>31</v>
      </c>
      <c r="D15" s="6">
        <v>694.84</v>
      </c>
      <c r="H15" s="6">
        <v>694.84</v>
      </c>
      <c r="I15" s="8">
        <v>45159</v>
      </c>
      <c r="J15" s="10">
        <v>7</v>
      </c>
      <c r="K15" s="2" t="s">
        <v>16</v>
      </c>
      <c r="L15" s="2" t="s">
        <v>17</v>
      </c>
      <c r="M15" s="2" t="s">
        <v>32</v>
      </c>
    </row>
    <row r="16" spans="1:13" customFormat="1" ht="15" x14ac:dyDescent="0.25">
      <c r="D16" s="14"/>
      <c r="E16" s="14"/>
      <c r="F16" s="14"/>
      <c r="G16" s="14"/>
      <c r="H16" s="14"/>
    </row>
    <row r="17" spans="1:13" s="4" customFormat="1" x14ac:dyDescent="0.2">
      <c r="A17" s="3" t="s">
        <v>29</v>
      </c>
      <c r="B17" s="3" t="s">
        <v>30</v>
      </c>
      <c r="C17" s="3" t="s">
        <v>16</v>
      </c>
      <c r="D17" s="5">
        <f>SUBTOTAL(9, D15:D16)</f>
        <v>694.84</v>
      </c>
      <c r="E17" s="5">
        <f>SUBTOTAL(9, E15:E16)</f>
        <v>0</v>
      </c>
      <c r="F17" s="5">
        <f>SUBTOTAL(9, F15:F16)</f>
        <v>0</v>
      </c>
      <c r="G17" s="5">
        <f>SUBTOTAL(9, G15:G16)</f>
        <v>0</v>
      </c>
      <c r="H17" s="5">
        <f>SUBTOTAL(9, H15:H16)</f>
        <v>694.84</v>
      </c>
      <c r="I17" s="7"/>
      <c r="J17" s="9"/>
      <c r="K17" s="3" t="s">
        <v>16</v>
      </c>
      <c r="L17" s="3" t="s">
        <v>16</v>
      </c>
      <c r="M17" s="3" t="s">
        <v>32</v>
      </c>
    </row>
    <row r="18" spans="1:13" customFormat="1" ht="15" x14ac:dyDescent="0.25">
      <c r="D18" s="14"/>
      <c r="E18" s="14"/>
      <c r="F18" s="14"/>
      <c r="G18" s="14"/>
      <c r="H18" s="14"/>
    </row>
    <row r="19" spans="1:13" x14ac:dyDescent="0.2">
      <c r="A19" s="2" t="s">
        <v>33</v>
      </c>
      <c r="B19" s="2" t="s">
        <v>34</v>
      </c>
      <c r="C19" s="2" t="s">
        <v>35</v>
      </c>
      <c r="D19" s="6">
        <v>719.39</v>
      </c>
      <c r="H19" s="6">
        <v>719.39</v>
      </c>
      <c r="I19" s="8">
        <v>45155</v>
      </c>
      <c r="J19" s="10">
        <v>11</v>
      </c>
      <c r="K19" s="2" t="s">
        <v>16</v>
      </c>
      <c r="L19" s="2" t="s">
        <v>36</v>
      </c>
      <c r="M19" s="2" t="s">
        <v>26</v>
      </c>
    </row>
    <row r="20" spans="1:13" x14ac:dyDescent="0.2">
      <c r="A20" s="2" t="s">
        <v>33</v>
      </c>
      <c r="B20" s="2" t="s">
        <v>34</v>
      </c>
      <c r="C20" s="2" t="s">
        <v>37</v>
      </c>
      <c r="D20" s="6">
        <v>1656.52</v>
      </c>
      <c r="H20" s="6">
        <v>1656.52</v>
      </c>
      <c r="I20" s="8">
        <v>45162</v>
      </c>
      <c r="J20" s="10">
        <v>4</v>
      </c>
      <c r="K20" s="2" t="s">
        <v>16</v>
      </c>
      <c r="L20" s="2" t="s">
        <v>36</v>
      </c>
      <c r="M20" s="2" t="s">
        <v>26</v>
      </c>
    </row>
    <row r="21" spans="1:13" customFormat="1" ht="15" x14ac:dyDescent="0.25">
      <c r="D21" s="14"/>
      <c r="E21" s="14"/>
      <c r="F21" s="14"/>
      <c r="G21" s="14"/>
      <c r="H21" s="14"/>
    </row>
    <row r="22" spans="1:13" s="4" customFormat="1" x14ac:dyDescent="0.2">
      <c r="A22" s="3" t="s">
        <v>33</v>
      </c>
      <c r="B22" s="3" t="s">
        <v>34</v>
      </c>
      <c r="C22" s="3" t="s">
        <v>16</v>
      </c>
      <c r="D22" s="5">
        <f>SUBTOTAL(9, D19:D21)</f>
        <v>2375.91</v>
      </c>
      <c r="E22" s="5">
        <f>SUBTOTAL(9, E19:E21)</f>
        <v>0</v>
      </c>
      <c r="F22" s="5">
        <f>SUBTOTAL(9, F19:F21)</f>
        <v>0</v>
      </c>
      <c r="G22" s="5">
        <f>SUBTOTAL(9, G19:G21)</f>
        <v>0</v>
      </c>
      <c r="H22" s="5">
        <f>SUBTOTAL(9, H19:H21)</f>
        <v>2375.91</v>
      </c>
      <c r="I22" s="7"/>
      <c r="J22" s="9"/>
      <c r="K22" s="3" t="s">
        <v>16</v>
      </c>
      <c r="L22" s="3" t="s">
        <v>16</v>
      </c>
      <c r="M22" s="3" t="s">
        <v>26</v>
      </c>
    </row>
    <row r="23" spans="1:13" customFormat="1" ht="15" x14ac:dyDescent="0.25">
      <c r="D23" s="14"/>
      <c r="E23" s="14"/>
      <c r="F23" s="14"/>
      <c r="G23" s="14"/>
      <c r="H23" s="14"/>
    </row>
    <row r="24" spans="1:13" x14ac:dyDescent="0.2">
      <c r="A24" s="2" t="s">
        <v>38</v>
      </c>
      <c r="B24" s="2" t="s">
        <v>39</v>
      </c>
      <c r="C24" s="2" t="s">
        <v>40</v>
      </c>
      <c r="D24" s="6">
        <v>516.80999999999995</v>
      </c>
      <c r="H24" s="6">
        <v>516.80999999999995</v>
      </c>
      <c r="I24" s="8">
        <v>45162</v>
      </c>
      <c r="J24" s="10">
        <v>4</v>
      </c>
      <c r="K24" s="2" t="s">
        <v>16</v>
      </c>
      <c r="L24" s="2" t="s">
        <v>36</v>
      </c>
      <c r="M24" s="2" t="s">
        <v>41</v>
      </c>
    </row>
    <row r="25" spans="1:13" customFormat="1" ht="15" x14ac:dyDescent="0.25">
      <c r="D25" s="14"/>
      <c r="E25" s="14"/>
      <c r="F25" s="14"/>
      <c r="G25" s="14"/>
      <c r="H25" s="14"/>
    </row>
    <row r="26" spans="1:13" s="4" customFormat="1" x14ac:dyDescent="0.2">
      <c r="A26" s="3" t="s">
        <v>38</v>
      </c>
      <c r="B26" s="3" t="s">
        <v>39</v>
      </c>
      <c r="C26" s="3" t="s">
        <v>16</v>
      </c>
      <c r="D26" s="5">
        <f>SUBTOTAL(9, D24:D25)</f>
        <v>516.80999999999995</v>
      </c>
      <c r="E26" s="5">
        <f>SUBTOTAL(9, E24:E25)</f>
        <v>0</v>
      </c>
      <c r="F26" s="5">
        <f>SUBTOTAL(9, F24:F25)</f>
        <v>0</v>
      </c>
      <c r="G26" s="5">
        <f>SUBTOTAL(9, G24:G25)</f>
        <v>0</v>
      </c>
      <c r="H26" s="5">
        <f>SUBTOTAL(9, H24:H25)</f>
        <v>516.80999999999995</v>
      </c>
      <c r="I26" s="7"/>
      <c r="J26" s="9"/>
      <c r="K26" s="3" t="s">
        <v>16</v>
      </c>
      <c r="L26" s="3" t="s">
        <v>16</v>
      </c>
      <c r="M26" s="3" t="s">
        <v>41</v>
      </c>
    </row>
    <row r="27" spans="1:13" customFormat="1" ht="15" x14ac:dyDescent="0.25">
      <c r="D27" s="14"/>
      <c r="E27" s="14"/>
      <c r="F27" s="14"/>
      <c r="G27" s="14"/>
      <c r="H27" s="14"/>
    </row>
    <row r="28" spans="1:13" x14ac:dyDescent="0.2">
      <c r="A28" s="2" t="s">
        <v>42</v>
      </c>
      <c r="B28" s="2" t="s">
        <v>43</v>
      </c>
      <c r="C28" s="2" t="s">
        <v>44</v>
      </c>
      <c r="G28" s="6">
        <v>1112.0999999999999</v>
      </c>
      <c r="H28" s="6">
        <v>1112.0999999999999</v>
      </c>
      <c r="I28" s="8">
        <v>45093</v>
      </c>
      <c r="J28" s="10">
        <v>73</v>
      </c>
      <c r="K28" s="2" t="s">
        <v>16</v>
      </c>
      <c r="L28" s="2" t="s">
        <v>17</v>
      </c>
      <c r="M28" s="2" t="s">
        <v>32</v>
      </c>
    </row>
    <row r="29" spans="1:13" x14ac:dyDescent="0.2">
      <c r="A29" s="2" t="s">
        <v>42</v>
      </c>
      <c r="B29" s="2" t="s">
        <v>43</v>
      </c>
      <c r="C29" s="2" t="s">
        <v>45</v>
      </c>
      <c r="E29" s="6">
        <v>1349.85</v>
      </c>
      <c r="H29" s="6">
        <v>1349.85</v>
      </c>
      <c r="I29" s="8">
        <v>45148</v>
      </c>
      <c r="J29" s="10">
        <v>18</v>
      </c>
      <c r="K29" s="2" t="s">
        <v>16</v>
      </c>
      <c r="L29" s="2" t="s">
        <v>17</v>
      </c>
      <c r="M29" s="2" t="s">
        <v>32</v>
      </c>
    </row>
    <row r="30" spans="1:13" x14ac:dyDescent="0.2">
      <c r="A30" s="2" t="s">
        <v>42</v>
      </c>
      <c r="B30" s="2" t="s">
        <v>43</v>
      </c>
      <c r="C30" s="2" t="s">
        <v>46</v>
      </c>
      <c r="D30" s="6">
        <v>4030.15</v>
      </c>
      <c r="H30" s="6">
        <v>4030.15</v>
      </c>
      <c r="I30" s="8">
        <v>45163</v>
      </c>
      <c r="J30" s="10">
        <v>3</v>
      </c>
      <c r="K30" s="2" t="s">
        <v>16</v>
      </c>
      <c r="L30" s="2" t="s">
        <v>17</v>
      </c>
      <c r="M30" s="2" t="s">
        <v>32</v>
      </c>
    </row>
    <row r="31" spans="1:13" customFormat="1" ht="15" x14ac:dyDescent="0.25">
      <c r="D31" s="14"/>
      <c r="E31" s="14"/>
      <c r="F31" s="14"/>
      <c r="G31" s="14"/>
      <c r="H31" s="14"/>
    </row>
    <row r="32" spans="1:13" s="4" customFormat="1" x14ac:dyDescent="0.2">
      <c r="A32" s="3" t="s">
        <v>42</v>
      </c>
      <c r="B32" s="3" t="s">
        <v>43</v>
      </c>
      <c r="C32" s="3" t="s">
        <v>16</v>
      </c>
      <c r="D32" s="5">
        <f>SUBTOTAL(9, D28:D31)</f>
        <v>4030.15</v>
      </c>
      <c r="E32" s="5">
        <f>SUBTOTAL(9, E28:E31)</f>
        <v>1349.85</v>
      </c>
      <c r="F32" s="5">
        <f>SUBTOTAL(9, F28:F31)</f>
        <v>0</v>
      </c>
      <c r="G32" s="5">
        <f>SUBTOTAL(9, G28:G31)</f>
        <v>1112.0999999999999</v>
      </c>
      <c r="H32" s="5">
        <f>SUBTOTAL(9, H28:H31)</f>
        <v>6492.1</v>
      </c>
      <c r="I32" s="7"/>
      <c r="J32" s="9"/>
      <c r="K32" s="3" t="s">
        <v>16</v>
      </c>
      <c r="L32" s="3" t="s">
        <v>16</v>
      </c>
      <c r="M32" s="3" t="s">
        <v>32</v>
      </c>
    </row>
    <row r="33" spans="1:13" customFormat="1" ht="15" x14ac:dyDescent="0.25">
      <c r="D33" s="14"/>
      <c r="E33" s="14"/>
      <c r="F33" s="14"/>
      <c r="G33" s="14"/>
      <c r="H33" s="14"/>
    </row>
    <row r="34" spans="1:13" x14ac:dyDescent="0.2">
      <c r="A34" s="2" t="s">
        <v>47</v>
      </c>
      <c r="B34" s="2" t="s">
        <v>48</v>
      </c>
      <c r="C34" s="2" t="s">
        <v>49</v>
      </c>
      <c r="G34" s="6">
        <v>3763.2</v>
      </c>
      <c r="H34" s="6">
        <v>3763.2</v>
      </c>
      <c r="I34" s="8">
        <v>45044</v>
      </c>
      <c r="J34" s="10">
        <v>122</v>
      </c>
      <c r="K34" s="2" t="s">
        <v>16</v>
      </c>
      <c r="L34" s="2" t="s">
        <v>36</v>
      </c>
      <c r="M34" s="2" t="s">
        <v>50</v>
      </c>
    </row>
    <row r="35" spans="1:13" x14ac:dyDescent="0.2">
      <c r="A35" s="2" t="s">
        <v>47</v>
      </c>
      <c r="B35" s="2" t="s">
        <v>48</v>
      </c>
      <c r="C35" s="2" t="s">
        <v>51</v>
      </c>
      <c r="G35" s="6">
        <v>6894.72</v>
      </c>
      <c r="H35" s="6">
        <v>6894.72</v>
      </c>
      <c r="I35" s="8">
        <v>45057</v>
      </c>
      <c r="J35" s="10">
        <v>109</v>
      </c>
      <c r="K35" s="2" t="s">
        <v>16</v>
      </c>
      <c r="L35" s="2" t="s">
        <v>36</v>
      </c>
      <c r="M35" s="2" t="s">
        <v>50</v>
      </c>
    </row>
    <row r="36" spans="1:13" x14ac:dyDescent="0.2">
      <c r="A36" s="2" t="s">
        <v>47</v>
      </c>
      <c r="B36" s="2" t="s">
        <v>48</v>
      </c>
      <c r="C36" s="2" t="s">
        <v>52</v>
      </c>
      <c r="G36" s="6">
        <v>3360</v>
      </c>
      <c r="H36" s="6">
        <v>3360</v>
      </c>
      <c r="I36" s="8">
        <v>45083</v>
      </c>
      <c r="J36" s="10">
        <v>83</v>
      </c>
      <c r="K36" s="2" t="s">
        <v>16</v>
      </c>
      <c r="L36" s="2" t="s">
        <v>36</v>
      </c>
      <c r="M36" s="2" t="s">
        <v>50</v>
      </c>
    </row>
    <row r="37" spans="1:13" customFormat="1" ht="15" x14ac:dyDescent="0.25">
      <c r="D37" s="14"/>
      <c r="E37" s="14"/>
      <c r="F37" s="14"/>
      <c r="G37" s="14"/>
      <c r="H37" s="14"/>
    </row>
    <row r="38" spans="1:13" s="4" customFormat="1" x14ac:dyDescent="0.2">
      <c r="A38" s="3" t="s">
        <v>47</v>
      </c>
      <c r="B38" s="3" t="s">
        <v>48</v>
      </c>
      <c r="C38" s="3" t="s">
        <v>16</v>
      </c>
      <c r="D38" s="5">
        <f>SUBTOTAL(9, D34:D37)</f>
        <v>0</v>
      </c>
      <c r="E38" s="5">
        <f>SUBTOTAL(9, E34:E37)</f>
        <v>0</v>
      </c>
      <c r="F38" s="5">
        <f>SUBTOTAL(9, F34:F37)</f>
        <v>0</v>
      </c>
      <c r="G38" s="5">
        <f>SUBTOTAL(9, G34:G37)</f>
        <v>14017.92</v>
      </c>
      <c r="H38" s="5">
        <f>SUBTOTAL(9, H34:H37)</f>
        <v>14017.92</v>
      </c>
      <c r="I38" s="7"/>
      <c r="J38" s="9"/>
      <c r="K38" s="3" t="s">
        <v>16</v>
      </c>
      <c r="L38" s="3" t="s">
        <v>16</v>
      </c>
      <c r="M38" s="3" t="s">
        <v>50</v>
      </c>
    </row>
    <row r="39" spans="1:13" customFormat="1" ht="15" x14ac:dyDescent="0.25">
      <c r="D39" s="14"/>
      <c r="E39" s="14"/>
      <c r="F39" s="14"/>
      <c r="G39" s="14"/>
      <c r="H39" s="14"/>
    </row>
    <row r="40" spans="1:13" x14ac:dyDescent="0.2">
      <c r="A40" s="2" t="s">
        <v>53</v>
      </c>
      <c r="B40" s="2" t="s">
        <v>54</v>
      </c>
      <c r="C40" s="2" t="s">
        <v>55</v>
      </c>
      <c r="D40" s="6">
        <v>3116.89</v>
      </c>
      <c r="H40" s="6">
        <v>3116.89</v>
      </c>
      <c r="I40" s="8">
        <v>45162</v>
      </c>
      <c r="J40" s="10">
        <v>4</v>
      </c>
      <c r="K40" s="2" t="s">
        <v>16</v>
      </c>
      <c r="L40" s="2" t="s">
        <v>25</v>
      </c>
      <c r="M40" s="2" t="s">
        <v>26</v>
      </c>
    </row>
    <row r="41" spans="1:13" customFormat="1" ht="15" x14ac:dyDescent="0.25">
      <c r="D41" s="14"/>
      <c r="E41" s="14"/>
      <c r="F41" s="14"/>
      <c r="G41" s="14"/>
      <c r="H41" s="14"/>
    </row>
    <row r="42" spans="1:13" s="4" customFormat="1" x14ac:dyDescent="0.2">
      <c r="A42" s="3" t="s">
        <v>53</v>
      </c>
      <c r="B42" s="3" t="s">
        <v>54</v>
      </c>
      <c r="C42" s="3" t="s">
        <v>16</v>
      </c>
      <c r="D42" s="5">
        <f>SUBTOTAL(9, D40:D41)</f>
        <v>3116.89</v>
      </c>
      <c r="E42" s="5">
        <f>SUBTOTAL(9, E40:E41)</f>
        <v>0</v>
      </c>
      <c r="F42" s="5">
        <f>SUBTOTAL(9, F40:F41)</f>
        <v>0</v>
      </c>
      <c r="G42" s="5">
        <f>SUBTOTAL(9, G40:G41)</f>
        <v>0</v>
      </c>
      <c r="H42" s="5">
        <f>SUBTOTAL(9, H40:H41)</f>
        <v>3116.89</v>
      </c>
      <c r="I42" s="7"/>
      <c r="J42" s="9"/>
      <c r="K42" s="3" t="s">
        <v>16</v>
      </c>
      <c r="L42" s="3" t="s">
        <v>16</v>
      </c>
      <c r="M42" s="3" t="s">
        <v>26</v>
      </c>
    </row>
    <row r="43" spans="1:13" customFormat="1" ht="15" x14ac:dyDescent="0.25">
      <c r="D43" s="14"/>
      <c r="E43" s="14"/>
      <c r="F43" s="14"/>
      <c r="G43" s="14"/>
      <c r="H43" s="14"/>
    </row>
    <row r="44" spans="1:13" x14ac:dyDescent="0.2">
      <c r="A44" s="2" t="s">
        <v>56</v>
      </c>
      <c r="B44" s="2" t="s">
        <v>57</v>
      </c>
      <c r="C44" s="2" t="s">
        <v>58</v>
      </c>
      <c r="D44" s="6">
        <v>857.99</v>
      </c>
      <c r="H44" s="6">
        <v>857.99</v>
      </c>
      <c r="I44" s="8">
        <v>45166</v>
      </c>
      <c r="K44" s="2" t="s">
        <v>16</v>
      </c>
      <c r="L44" s="2" t="s">
        <v>36</v>
      </c>
      <c r="M44" s="2" t="s">
        <v>59</v>
      </c>
    </row>
    <row r="45" spans="1:13" customFormat="1" ht="15" x14ac:dyDescent="0.25">
      <c r="D45" s="14"/>
      <c r="E45" s="14"/>
      <c r="F45" s="14"/>
      <c r="G45" s="14"/>
      <c r="H45" s="14"/>
    </row>
    <row r="46" spans="1:13" s="4" customFormat="1" x14ac:dyDescent="0.2">
      <c r="A46" s="3" t="s">
        <v>56</v>
      </c>
      <c r="B46" s="3" t="s">
        <v>57</v>
      </c>
      <c r="C46" s="3" t="s">
        <v>16</v>
      </c>
      <c r="D46" s="5">
        <f>SUBTOTAL(9, D44:D45)</f>
        <v>857.99</v>
      </c>
      <c r="E46" s="5">
        <f>SUBTOTAL(9, E44:E45)</f>
        <v>0</v>
      </c>
      <c r="F46" s="5">
        <f>SUBTOTAL(9, F44:F45)</f>
        <v>0</v>
      </c>
      <c r="G46" s="5">
        <f>SUBTOTAL(9, G44:G45)</f>
        <v>0</v>
      </c>
      <c r="H46" s="5">
        <f>SUBTOTAL(9, H44:H45)</f>
        <v>857.99</v>
      </c>
      <c r="I46" s="7"/>
      <c r="J46" s="9"/>
      <c r="K46" s="3" t="s">
        <v>16</v>
      </c>
      <c r="L46" s="3" t="s">
        <v>16</v>
      </c>
      <c r="M46" s="3" t="s">
        <v>59</v>
      </c>
    </row>
    <row r="47" spans="1:13" customFormat="1" ht="15" x14ac:dyDescent="0.25">
      <c r="D47" s="14"/>
      <c r="E47" s="14"/>
      <c r="F47" s="14"/>
      <c r="G47" s="14"/>
      <c r="H47" s="14"/>
    </row>
    <row r="48" spans="1:13" x14ac:dyDescent="0.2">
      <c r="A48" s="2" t="s">
        <v>60</v>
      </c>
      <c r="B48" s="2" t="s">
        <v>61</v>
      </c>
      <c r="C48" s="2" t="s">
        <v>62</v>
      </c>
      <c r="E48" s="6">
        <v>401.65</v>
      </c>
      <c r="H48" s="6">
        <v>401.65</v>
      </c>
      <c r="I48" s="8">
        <v>45141</v>
      </c>
      <c r="J48" s="10">
        <v>25</v>
      </c>
      <c r="K48" s="2" t="s">
        <v>16</v>
      </c>
      <c r="L48" s="2" t="s">
        <v>36</v>
      </c>
      <c r="M48" s="2" t="s">
        <v>63</v>
      </c>
    </row>
    <row r="49" spans="1:13" customFormat="1" ht="15" x14ac:dyDescent="0.25">
      <c r="D49" s="14"/>
      <c r="E49" s="14"/>
      <c r="F49" s="14"/>
      <c r="G49" s="14"/>
      <c r="H49" s="14"/>
    </row>
    <row r="50" spans="1:13" s="4" customFormat="1" x14ac:dyDescent="0.2">
      <c r="A50" s="3" t="s">
        <v>60</v>
      </c>
      <c r="B50" s="3" t="s">
        <v>61</v>
      </c>
      <c r="C50" s="3" t="s">
        <v>16</v>
      </c>
      <c r="D50" s="5">
        <f>SUBTOTAL(9, D48:D49)</f>
        <v>0</v>
      </c>
      <c r="E50" s="5">
        <f>SUBTOTAL(9, E48:E49)</f>
        <v>401.65</v>
      </c>
      <c r="F50" s="5">
        <f>SUBTOTAL(9, F48:F49)</f>
        <v>0</v>
      </c>
      <c r="G50" s="5">
        <f>SUBTOTAL(9, G48:G49)</f>
        <v>0</v>
      </c>
      <c r="H50" s="5">
        <f>SUBTOTAL(9, H48:H49)</f>
        <v>401.65</v>
      </c>
      <c r="I50" s="7"/>
      <c r="J50" s="9"/>
      <c r="K50" s="3" t="s">
        <v>16</v>
      </c>
      <c r="L50" s="3" t="s">
        <v>16</v>
      </c>
      <c r="M50" s="3" t="s">
        <v>63</v>
      </c>
    </row>
    <row r="51" spans="1:13" customFormat="1" ht="15" x14ac:dyDescent="0.25">
      <c r="D51" s="14"/>
      <c r="E51" s="14"/>
      <c r="F51" s="14"/>
      <c r="G51" s="14"/>
      <c r="H51" s="14"/>
    </row>
    <row r="52" spans="1:13" x14ac:dyDescent="0.2">
      <c r="A52" s="2" t="s">
        <v>64</v>
      </c>
      <c r="B52" s="2" t="s">
        <v>65</v>
      </c>
      <c r="C52" s="2" t="s">
        <v>66</v>
      </c>
      <c r="G52" s="6">
        <v>399.84</v>
      </c>
      <c r="H52" s="6">
        <v>399.84</v>
      </c>
      <c r="I52" s="8">
        <v>45117</v>
      </c>
      <c r="J52" s="10">
        <v>49</v>
      </c>
      <c r="K52" s="2" t="s">
        <v>16</v>
      </c>
      <c r="L52" s="2" t="s">
        <v>36</v>
      </c>
      <c r="M52" s="2" t="s">
        <v>63</v>
      </c>
    </row>
    <row r="53" spans="1:13" customFormat="1" ht="15" x14ac:dyDescent="0.25">
      <c r="D53" s="14"/>
      <c r="E53" s="14"/>
      <c r="F53" s="14"/>
      <c r="G53" s="14"/>
      <c r="H53" s="14"/>
    </row>
    <row r="54" spans="1:13" s="4" customFormat="1" x14ac:dyDescent="0.2">
      <c r="A54" s="3" t="s">
        <v>64</v>
      </c>
      <c r="B54" s="3" t="s">
        <v>65</v>
      </c>
      <c r="C54" s="3" t="s">
        <v>16</v>
      </c>
      <c r="D54" s="5">
        <f>SUBTOTAL(9, D52:D53)</f>
        <v>0</v>
      </c>
      <c r="E54" s="5">
        <f>SUBTOTAL(9, E52:E53)</f>
        <v>0</v>
      </c>
      <c r="F54" s="5">
        <f>SUBTOTAL(9, F52:F53)</f>
        <v>0</v>
      </c>
      <c r="G54" s="5">
        <f>SUBTOTAL(9, G52:G53)</f>
        <v>399.84</v>
      </c>
      <c r="H54" s="5">
        <f>SUBTOTAL(9, H52:H53)</f>
        <v>399.84</v>
      </c>
      <c r="I54" s="7"/>
      <c r="J54" s="9"/>
      <c r="K54" s="3" t="s">
        <v>16</v>
      </c>
      <c r="L54" s="3" t="s">
        <v>16</v>
      </c>
      <c r="M54" s="3" t="s">
        <v>63</v>
      </c>
    </row>
    <row r="55" spans="1:13" customFormat="1" ht="15" x14ac:dyDescent="0.25">
      <c r="D55" s="14"/>
      <c r="E55" s="14"/>
      <c r="F55" s="14"/>
      <c r="G55" s="14"/>
      <c r="H55" s="14"/>
    </row>
    <row r="56" spans="1:13" x14ac:dyDescent="0.2">
      <c r="A56" s="2" t="s">
        <v>67</v>
      </c>
      <c r="B56" s="2" t="s">
        <v>68</v>
      </c>
      <c r="C56" s="2" t="s">
        <v>69</v>
      </c>
      <c r="D56" s="6">
        <v>323.42</v>
      </c>
      <c r="H56" s="6">
        <v>323.42</v>
      </c>
      <c r="I56" s="8">
        <v>45155</v>
      </c>
      <c r="J56" s="10">
        <v>11</v>
      </c>
      <c r="K56" s="2" t="s">
        <v>16</v>
      </c>
      <c r="L56" s="2" t="s">
        <v>17</v>
      </c>
      <c r="M56" s="2" t="s">
        <v>70</v>
      </c>
    </row>
    <row r="57" spans="1:13" customFormat="1" ht="15" x14ac:dyDescent="0.25">
      <c r="D57" s="14"/>
      <c r="E57" s="14"/>
      <c r="F57" s="14"/>
      <c r="G57" s="14"/>
      <c r="H57" s="14"/>
    </row>
    <row r="58" spans="1:13" s="4" customFormat="1" x14ac:dyDescent="0.2">
      <c r="A58" s="3" t="s">
        <v>67</v>
      </c>
      <c r="B58" s="3" t="s">
        <v>68</v>
      </c>
      <c r="C58" s="3" t="s">
        <v>16</v>
      </c>
      <c r="D58" s="5">
        <f>SUBTOTAL(9, D56:D57)</f>
        <v>323.42</v>
      </c>
      <c r="E58" s="5">
        <f>SUBTOTAL(9, E56:E57)</f>
        <v>0</v>
      </c>
      <c r="F58" s="5">
        <f>SUBTOTAL(9, F56:F57)</f>
        <v>0</v>
      </c>
      <c r="G58" s="5">
        <f>SUBTOTAL(9, G56:G57)</f>
        <v>0</v>
      </c>
      <c r="H58" s="5">
        <f>SUBTOTAL(9, H56:H57)</f>
        <v>323.42</v>
      </c>
      <c r="I58" s="7"/>
      <c r="J58" s="9"/>
      <c r="K58" s="3" t="s">
        <v>16</v>
      </c>
      <c r="L58" s="3" t="s">
        <v>16</v>
      </c>
      <c r="M58" s="3" t="s">
        <v>70</v>
      </c>
    </row>
    <row r="59" spans="1:13" customFormat="1" ht="15" x14ac:dyDescent="0.25">
      <c r="D59" s="14"/>
      <c r="E59" s="14"/>
      <c r="F59" s="14"/>
      <c r="G59" s="14"/>
      <c r="H59" s="14"/>
    </row>
    <row r="60" spans="1:13" x14ac:dyDescent="0.2">
      <c r="A60" s="2" t="s">
        <v>71</v>
      </c>
      <c r="B60" s="2" t="s">
        <v>72</v>
      </c>
      <c r="C60" s="2" t="s">
        <v>73</v>
      </c>
      <c r="E60" s="6">
        <v>3229.98</v>
      </c>
      <c r="H60" s="6">
        <v>3229.98</v>
      </c>
      <c r="I60" s="8">
        <v>45145</v>
      </c>
      <c r="J60" s="10">
        <v>21</v>
      </c>
      <c r="K60" s="2" t="s">
        <v>16</v>
      </c>
      <c r="L60" s="2" t="s">
        <v>36</v>
      </c>
      <c r="M60" s="2" t="s">
        <v>63</v>
      </c>
    </row>
    <row r="61" spans="1:13" x14ac:dyDescent="0.2">
      <c r="A61" s="2" t="s">
        <v>71</v>
      </c>
      <c r="B61" s="2" t="s">
        <v>72</v>
      </c>
      <c r="C61" s="2" t="s">
        <v>74</v>
      </c>
      <c r="D61" s="6">
        <v>3392.08</v>
      </c>
      <c r="H61" s="6">
        <v>3392.08</v>
      </c>
      <c r="I61" s="8">
        <v>45159</v>
      </c>
      <c r="J61" s="10">
        <v>7</v>
      </c>
      <c r="K61" s="2" t="s">
        <v>16</v>
      </c>
      <c r="L61" s="2" t="s">
        <v>36</v>
      </c>
      <c r="M61" s="2" t="s">
        <v>63</v>
      </c>
    </row>
    <row r="62" spans="1:13" customFormat="1" ht="15" x14ac:dyDescent="0.25">
      <c r="D62" s="14"/>
      <c r="E62" s="14"/>
      <c r="F62" s="14"/>
      <c r="G62" s="14"/>
      <c r="H62" s="14"/>
    </row>
    <row r="63" spans="1:13" s="4" customFormat="1" x14ac:dyDescent="0.2">
      <c r="A63" s="3" t="s">
        <v>71</v>
      </c>
      <c r="B63" s="3" t="s">
        <v>72</v>
      </c>
      <c r="C63" s="3" t="s">
        <v>16</v>
      </c>
      <c r="D63" s="5">
        <f>SUBTOTAL(9, D60:D62)</f>
        <v>3392.08</v>
      </c>
      <c r="E63" s="5">
        <f>SUBTOTAL(9, E60:E62)</f>
        <v>3229.98</v>
      </c>
      <c r="F63" s="5">
        <f>SUBTOTAL(9, F60:F62)</f>
        <v>0</v>
      </c>
      <c r="G63" s="5">
        <f>SUBTOTAL(9, G60:G62)</f>
        <v>0</v>
      </c>
      <c r="H63" s="5">
        <f>SUBTOTAL(9, H60:H62)</f>
        <v>6622.0599999999995</v>
      </c>
      <c r="I63" s="7"/>
      <c r="J63" s="9"/>
      <c r="K63" s="3" t="s">
        <v>16</v>
      </c>
      <c r="L63" s="3" t="s">
        <v>16</v>
      </c>
      <c r="M63" s="3" t="s">
        <v>63</v>
      </c>
    </row>
    <row r="64" spans="1:13" customFormat="1" ht="15" x14ac:dyDescent="0.25">
      <c r="D64" s="14"/>
      <c r="E64" s="14"/>
      <c r="F64" s="14"/>
      <c r="G64" s="14"/>
      <c r="H64" s="14"/>
    </row>
    <row r="65" spans="1:13" x14ac:dyDescent="0.2">
      <c r="A65" s="2" t="s">
        <v>75</v>
      </c>
      <c r="B65" s="2" t="s">
        <v>76</v>
      </c>
      <c r="C65" s="2" t="s">
        <v>77</v>
      </c>
      <c r="D65" s="6">
        <v>701.99</v>
      </c>
      <c r="H65" s="6">
        <v>701.99</v>
      </c>
      <c r="I65" s="8">
        <v>45152</v>
      </c>
      <c r="J65" s="10">
        <v>14</v>
      </c>
      <c r="K65" s="2" t="s">
        <v>78</v>
      </c>
      <c r="L65" s="2" t="s">
        <v>25</v>
      </c>
      <c r="M65" s="2" t="s">
        <v>59</v>
      </c>
    </row>
    <row r="66" spans="1:13" x14ac:dyDescent="0.2">
      <c r="A66" s="2" t="s">
        <v>75</v>
      </c>
      <c r="B66" s="2" t="s">
        <v>76</v>
      </c>
      <c r="C66" s="2" t="s">
        <v>79</v>
      </c>
      <c r="D66" s="6">
        <v>729.39</v>
      </c>
      <c r="H66" s="6">
        <v>729.39</v>
      </c>
      <c r="I66" s="8">
        <v>45166</v>
      </c>
      <c r="K66" s="2" t="s">
        <v>16</v>
      </c>
      <c r="L66" s="2" t="s">
        <v>25</v>
      </c>
      <c r="M66" s="2" t="s">
        <v>59</v>
      </c>
    </row>
    <row r="67" spans="1:13" customFormat="1" ht="15" x14ac:dyDescent="0.25">
      <c r="D67" s="14"/>
      <c r="E67" s="14"/>
      <c r="F67" s="14"/>
      <c r="G67" s="14"/>
      <c r="H67" s="14"/>
    </row>
    <row r="68" spans="1:13" s="4" customFormat="1" x14ac:dyDescent="0.2">
      <c r="A68" s="3" t="s">
        <v>75</v>
      </c>
      <c r="B68" s="3" t="s">
        <v>76</v>
      </c>
      <c r="C68" s="3" t="s">
        <v>16</v>
      </c>
      <c r="D68" s="5">
        <f>SUBTOTAL(9, D65:D67)</f>
        <v>1431.38</v>
      </c>
      <c r="E68" s="5">
        <f>SUBTOTAL(9, E65:E67)</f>
        <v>0</v>
      </c>
      <c r="F68" s="5">
        <f>SUBTOTAL(9, F65:F67)</f>
        <v>0</v>
      </c>
      <c r="G68" s="5">
        <f>SUBTOTAL(9, G65:G67)</f>
        <v>0</v>
      </c>
      <c r="H68" s="5">
        <f>SUBTOTAL(9, H65:H67)</f>
        <v>1431.38</v>
      </c>
      <c r="I68" s="7"/>
      <c r="J68" s="9"/>
      <c r="K68" s="3" t="s">
        <v>16</v>
      </c>
      <c r="L68" s="3" t="s">
        <v>16</v>
      </c>
      <c r="M68" s="3" t="s">
        <v>59</v>
      </c>
    </row>
    <row r="69" spans="1:13" customFormat="1" ht="15" x14ac:dyDescent="0.25">
      <c r="D69" s="14"/>
      <c r="E69" s="14"/>
      <c r="F69" s="14"/>
      <c r="G69" s="14"/>
      <c r="H69" s="14"/>
    </row>
    <row r="70" spans="1:13" x14ac:dyDescent="0.2">
      <c r="A70" s="2" t="s">
        <v>80</v>
      </c>
      <c r="B70" s="2" t="s">
        <v>81</v>
      </c>
      <c r="C70" s="2" t="s">
        <v>82</v>
      </c>
      <c r="D70" s="6">
        <v>980</v>
      </c>
      <c r="H70" s="6">
        <v>980</v>
      </c>
      <c r="I70" s="8">
        <v>45160</v>
      </c>
      <c r="J70" s="10">
        <v>6</v>
      </c>
      <c r="K70" s="2" t="s">
        <v>16</v>
      </c>
      <c r="L70" s="2" t="s">
        <v>17</v>
      </c>
      <c r="M70" s="2" t="s">
        <v>63</v>
      </c>
    </row>
    <row r="71" spans="1:13" customFormat="1" ht="15" x14ac:dyDescent="0.25">
      <c r="D71" s="14"/>
      <c r="E71" s="14"/>
      <c r="F71" s="14"/>
      <c r="G71" s="14"/>
      <c r="H71" s="14"/>
    </row>
    <row r="72" spans="1:13" s="4" customFormat="1" x14ac:dyDescent="0.2">
      <c r="A72" s="3" t="s">
        <v>80</v>
      </c>
      <c r="B72" s="3" t="s">
        <v>81</v>
      </c>
      <c r="C72" s="3" t="s">
        <v>16</v>
      </c>
      <c r="D72" s="5">
        <f>SUBTOTAL(9, D70:D71)</f>
        <v>980</v>
      </c>
      <c r="E72" s="5">
        <f>SUBTOTAL(9, E70:E71)</f>
        <v>0</v>
      </c>
      <c r="F72" s="5">
        <f>SUBTOTAL(9, F70:F71)</f>
        <v>0</v>
      </c>
      <c r="G72" s="5">
        <f>SUBTOTAL(9, G70:G71)</f>
        <v>0</v>
      </c>
      <c r="H72" s="5">
        <f>SUBTOTAL(9, H70:H71)</f>
        <v>980</v>
      </c>
      <c r="I72" s="7"/>
      <c r="J72" s="9"/>
      <c r="K72" s="3" t="s">
        <v>16</v>
      </c>
      <c r="L72" s="3" t="s">
        <v>16</v>
      </c>
      <c r="M72" s="3" t="s">
        <v>63</v>
      </c>
    </row>
    <row r="73" spans="1:13" customFormat="1" ht="15" x14ac:dyDescent="0.25">
      <c r="D73" s="14"/>
      <c r="E73" s="14"/>
      <c r="F73" s="14"/>
      <c r="G73" s="14"/>
      <c r="H73" s="14"/>
    </row>
    <row r="74" spans="1:13" x14ac:dyDescent="0.2">
      <c r="A74" s="2" t="s">
        <v>83</v>
      </c>
      <c r="B74" s="2" t="s">
        <v>84</v>
      </c>
      <c r="C74" s="2" t="s">
        <v>85</v>
      </c>
      <c r="D74" s="6">
        <v>336.2</v>
      </c>
      <c r="H74" s="6">
        <v>336.2</v>
      </c>
      <c r="I74" s="8">
        <v>45155</v>
      </c>
      <c r="J74" s="10">
        <v>11</v>
      </c>
      <c r="K74" s="2" t="s">
        <v>16</v>
      </c>
      <c r="L74" s="2" t="s">
        <v>17</v>
      </c>
      <c r="M74" s="2" t="s">
        <v>70</v>
      </c>
    </row>
    <row r="75" spans="1:13" customFormat="1" ht="15" x14ac:dyDescent="0.25">
      <c r="D75" s="14"/>
      <c r="E75" s="14"/>
      <c r="F75" s="14"/>
      <c r="G75" s="14"/>
      <c r="H75" s="14"/>
    </row>
    <row r="76" spans="1:13" s="4" customFormat="1" x14ac:dyDescent="0.2">
      <c r="A76" s="3" t="s">
        <v>83</v>
      </c>
      <c r="B76" s="3" t="s">
        <v>84</v>
      </c>
      <c r="C76" s="3" t="s">
        <v>16</v>
      </c>
      <c r="D76" s="5">
        <f>SUBTOTAL(9, D74:D75)</f>
        <v>336.2</v>
      </c>
      <c r="E76" s="5">
        <f>SUBTOTAL(9, E74:E75)</f>
        <v>0</v>
      </c>
      <c r="F76" s="5">
        <f>SUBTOTAL(9, F74:F75)</f>
        <v>0</v>
      </c>
      <c r="G76" s="5">
        <f>SUBTOTAL(9, G74:G75)</f>
        <v>0</v>
      </c>
      <c r="H76" s="5">
        <f>SUBTOTAL(9, H74:H75)</f>
        <v>336.2</v>
      </c>
      <c r="I76" s="7"/>
      <c r="J76" s="9"/>
      <c r="K76" s="3" t="s">
        <v>16</v>
      </c>
      <c r="L76" s="3" t="s">
        <v>16</v>
      </c>
      <c r="M76" s="3" t="s">
        <v>70</v>
      </c>
    </row>
    <row r="77" spans="1:13" customFormat="1" ht="15" x14ac:dyDescent="0.25">
      <c r="D77" s="14"/>
      <c r="E77" s="14"/>
      <c r="F77" s="14"/>
      <c r="G77" s="14"/>
      <c r="H77" s="14"/>
    </row>
    <row r="78" spans="1:13" x14ac:dyDescent="0.2">
      <c r="A78" s="2" t="s">
        <v>86</v>
      </c>
      <c r="B78" s="2" t="s">
        <v>87</v>
      </c>
      <c r="C78" s="2" t="s">
        <v>88</v>
      </c>
      <c r="F78" s="6">
        <v>66.569999999999993</v>
      </c>
      <c r="H78" s="6">
        <v>66.569999999999993</v>
      </c>
      <c r="I78" s="8">
        <v>45131</v>
      </c>
      <c r="J78" s="10">
        <v>35</v>
      </c>
      <c r="K78" s="2" t="s">
        <v>78</v>
      </c>
      <c r="L78" s="2" t="s">
        <v>89</v>
      </c>
      <c r="M78" s="2" t="s">
        <v>26</v>
      </c>
    </row>
    <row r="79" spans="1:13" x14ac:dyDescent="0.2">
      <c r="A79" s="2" t="s">
        <v>86</v>
      </c>
      <c r="B79" s="2" t="s">
        <v>87</v>
      </c>
      <c r="C79" s="2" t="s">
        <v>90</v>
      </c>
      <c r="F79" s="6">
        <v>2665.6</v>
      </c>
      <c r="H79" s="6">
        <v>2665.6</v>
      </c>
      <c r="I79" s="8">
        <v>45134</v>
      </c>
      <c r="J79" s="10">
        <v>32</v>
      </c>
      <c r="K79" s="2" t="s">
        <v>78</v>
      </c>
      <c r="L79" s="2" t="s">
        <v>89</v>
      </c>
      <c r="M79" s="2" t="s">
        <v>26</v>
      </c>
    </row>
    <row r="80" spans="1:13" x14ac:dyDescent="0.2">
      <c r="A80" s="2" t="s">
        <v>86</v>
      </c>
      <c r="B80" s="2" t="s">
        <v>87</v>
      </c>
      <c r="C80" s="2" t="s">
        <v>91</v>
      </c>
      <c r="E80" s="6">
        <v>1932.56</v>
      </c>
      <c r="H80" s="6">
        <v>1932.56</v>
      </c>
      <c r="I80" s="8">
        <v>45145</v>
      </c>
      <c r="J80" s="10">
        <v>21</v>
      </c>
      <c r="K80" s="2" t="s">
        <v>78</v>
      </c>
      <c r="L80" s="2" t="s">
        <v>89</v>
      </c>
      <c r="M80" s="2" t="s">
        <v>26</v>
      </c>
    </row>
    <row r="81" spans="1:13" x14ac:dyDescent="0.2">
      <c r="A81" s="2" t="s">
        <v>86</v>
      </c>
      <c r="B81" s="2" t="s">
        <v>87</v>
      </c>
      <c r="C81" s="2" t="s">
        <v>92</v>
      </c>
      <c r="E81" s="6">
        <v>2665.6</v>
      </c>
      <c r="H81" s="6">
        <v>2665.6</v>
      </c>
      <c r="I81" s="8">
        <v>45147</v>
      </c>
      <c r="J81" s="10">
        <v>19</v>
      </c>
      <c r="K81" s="2" t="s">
        <v>16</v>
      </c>
      <c r="L81" s="2" t="s">
        <v>89</v>
      </c>
      <c r="M81" s="2" t="s">
        <v>26</v>
      </c>
    </row>
    <row r="82" spans="1:13" x14ac:dyDescent="0.2">
      <c r="A82" s="2" t="s">
        <v>86</v>
      </c>
      <c r="B82" s="2" t="s">
        <v>87</v>
      </c>
      <c r="C82" s="2" t="s">
        <v>93</v>
      </c>
      <c r="D82" s="6">
        <v>1999.2</v>
      </c>
      <c r="H82" s="6">
        <v>1999.2</v>
      </c>
      <c r="I82" s="8">
        <v>45155</v>
      </c>
      <c r="J82" s="10">
        <v>11</v>
      </c>
      <c r="K82" s="2" t="s">
        <v>16</v>
      </c>
      <c r="L82" s="2" t="s">
        <v>89</v>
      </c>
      <c r="M82" s="2" t="s">
        <v>26</v>
      </c>
    </row>
    <row r="83" spans="1:13" x14ac:dyDescent="0.2">
      <c r="A83" s="2" t="s">
        <v>86</v>
      </c>
      <c r="B83" s="2" t="s">
        <v>87</v>
      </c>
      <c r="C83" s="2" t="s">
        <v>94</v>
      </c>
      <c r="D83" s="6">
        <v>1999.2</v>
      </c>
      <c r="H83" s="6">
        <v>1999.2</v>
      </c>
      <c r="I83" s="8">
        <v>45162</v>
      </c>
      <c r="J83" s="10">
        <v>4</v>
      </c>
      <c r="K83" s="2" t="s">
        <v>16</v>
      </c>
      <c r="L83" s="2" t="s">
        <v>89</v>
      </c>
      <c r="M83" s="2" t="s">
        <v>26</v>
      </c>
    </row>
    <row r="84" spans="1:13" customFormat="1" ht="15" x14ac:dyDescent="0.25">
      <c r="D84" s="14"/>
      <c r="E84" s="14"/>
      <c r="F84" s="14"/>
      <c r="G84" s="14"/>
      <c r="H84" s="14"/>
    </row>
    <row r="85" spans="1:13" s="4" customFormat="1" x14ac:dyDescent="0.2">
      <c r="A85" s="3" t="s">
        <v>86</v>
      </c>
      <c r="B85" s="3" t="s">
        <v>87</v>
      </c>
      <c r="C85" s="3" t="s">
        <v>16</v>
      </c>
      <c r="D85" s="5">
        <f>SUBTOTAL(9, D78:D84)</f>
        <v>3998.4</v>
      </c>
      <c r="E85" s="5">
        <f>SUBTOTAL(9, E78:E84)</f>
        <v>4598.16</v>
      </c>
      <c r="F85" s="5">
        <f>SUBTOTAL(9, F78:F84)</f>
        <v>2732.17</v>
      </c>
      <c r="G85" s="5">
        <f>SUBTOTAL(9, G78:G84)</f>
        <v>0</v>
      </c>
      <c r="H85" s="5">
        <f>SUBTOTAL(9, H78:H84)</f>
        <v>11328.730000000001</v>
      </c>
      <c r="I85" s="7"/>
      <c r="J85" s="9"/>
      <c r="K85" s="3" t="s">
        <v>16</v>
      </c>
      <c r="L85" s="3" t="s">
        <v>16</v>
      </c>
      <c r="M85" s="3" t="s">
        <v>26</v>
      </c>
    </row>
    <row r="86" spans="1:13" customFormat="1" ht="15" x14ac:dyDescent="0.25">
      <c r="D86" s="14"/>
      <c r="E86" s="14"/>
      <c r="F86" s="14"/>
      <c r="G86" s="14"/>
      <c r="H86" s="14"/>
    </row>
    <row r="87" spans="1:13" x14ac:dyDescent="0.2">
      <c r="A87" s="2" t="s">
        <v>95</v>
      </c>
      <c r="B87" s="2" t="s">
        <v>96</v>
      </c>
      <c r="C87" s="2" t="s">
        <v>97</v>
      </c>
      <c r="D87" s="6">
        <v>2039.86</v>
      </c>
      <c r="H87" s="6">
        <v>2039.86</v>
      </c>
      <c r="I87" s="8">
        <v>45159</v>
      </c>
      <c r="J87" s="10">
        <v>7</v>
      </c>
      <c r="K87" s="2" t="s">
        <v>16</v>
      </c>
      <c r="L87" s="2" t="s">
        <v>36</v>
      </c>
      <c r="M87" s="2" t="s">
        <v>98</v>
      </c>
    </row>
    <row r="88" spans="1:13" customFormat="1" ht="15" x14ac:dyDescent="0.25">
      <c r="D88" s="14"/>
      <c r="E88" s="14"/>
      <c r="F88" s="14"/>
      <c r="G88" s="14"/>
      <c r="H88" s="14"/>
    </row>
    <row r="89" spans="1:13" s="4" customFormat="1" x14ac:dyDescent="0.2">
      <c r="A89" s="3" t="s">
        <v>95</v>
      </c>
      <c r="B89" s="3" t="s">
        <v>96</v>
      </c>
      <c r="C89" s="3" t="s">
        <v>16</v>
      </c>
      <c r="D89" s="5">
        <f>SUBTOTAL(9, D87:D88)</f>
        <v>2039.86</v>
      </c>
      <c r="E89" s="5">
        <f>SUBTOTAL(9, E87:E88)</f>
        <v>0</v>
      </c>
      <c r="F89" s="5">
        <f>SUBTOTAL(9, F87:F88)</f>
        <v>0</v>
      </c>
      <c r="G89" s="5">
        <f>SUBTOTAL(9, G87:G88)</f>
        <v>0</v>
      </c>
      <c r="H89" s="5">
        <f>SUBTOTAL(9, H87:H88)</f>
        <v>2039.86</v>
      </c>
      <c r="I89" s="7"/>
      <c r="J89" s="9"/>
      <c r="K89" s="3" t="s">
        <v>16</v>
      </c>
      <c r="L89" s="3" t="s">
        <v>16</v>
      </c>
      <c r="M89" s="3" t="s">
        <v>98</v>
      </c>
    </row>
    <row r="90" spans="1:13" customFormat="1" ht="15" x14ac:dyDescent="0.25">
      <c r="D90" s="14"/>
      <c r="E90" s="14"/>
      <c r="F90" s="14"/>
      <c r="G90" s="14"/>
      <c r="H90" s="14"/>
    </row>
    <row r="91" spans="1:13" x14ac:dyDescent="0.2">
      <c r="A91" s="2" t="s">
        <v>99</v>
      </c>
      <c r="B91" s="2" t="s">
        <v>100</v>
      </c>
      <c r="C91" s="2" t="s">
        <v>101</v>
      </c>
      <c r="D91" s="6">
        <v>533.12</v>
      </c>
      <c r="H91" s="6">
        <v>533.12</v>
      </c>
      <c r="I91" s="8">
        <v>45159</v>
      </c>
      <c r="J91" s="10">
        <v>7</v>
      </c>
      <c r="K91" s="2" t="s">
        <v>16</v>
      </c>
      <c r="L91" s="2" t="s">
        <v>36</v>
      </c>
      <c r="M91" s="2" t="s">
        <v>63</v>
      </c>
    </row>
    <row r="92" spans="1:13" customFormat="1" ht="15" x14ac:dyDescent="0.25">
      <c r="D92" s="14"/>
      <c r="E92" s="14"/>
      <c r="F92" s="14"/>
      <c r="G92" s="14"/>
      <c r="H92" s="14"/>
    </row>
    <row r="93" spans="1:13" s="4" customFormat="1" x14ac:dyDescent="0.2">
      <c r="A93" s="3" t="s">
        <v>99</v>
      </c>
      <c r="B93" s="3" t="s">
        <v>100</v>
      </c>
      <c r="C93" s="3" t="s">
        <v>16</v>
      </c>
      <c r="D93" s="5">
        <f>SUBTOTAL(9, D91:D92)</f>
        <v>533.12</v>
      </c>
      <c r="E93" s="5">
        <f>SUBTOTAL(9, E91:E92)</f>
        <v>0</v>
      </c>
      <c r="F93" s="5">
        <f>SUBTOTAL(9, F91:F92)</f>
        <v>0</v>
      </c>
      <c r="G93" s="5">
        <f>SUBTOTAL(9, G91:G92)</f>
        <v>0</v>
      </c>
      <c r="H93" s="5">
        <f>SUBTOTAL(9, H91:H92)</f>
        <v>533.12</v>
      </c>
      <c r="I93" s="7"/>
      <c r="J93" s="9"/>
      <c r="K93" s="3" t="s">
        <v>16</v>
      </c>
      <c r="L93" s="3" t="s">
        <v>16</v>
      </c>
      <c r="M93" s="3" t="s">
        <v>63</v>
      </c>
    </row>
    <row r="94" spans="1:13" customFormat="1" ht="15" x14ac:dyDescent="0.25">
      <c r="D94" s="14"/>
      <c r="E94" s="14"/>
      <c r="F94" s="14"/>
      <c r="G94" s="14"/>
      <c r="H94" s="14"/>
    </row>
    <row r="95" spans="1:13" x14ac:dyDescent="0.2">
      <c r="A95" s="2" t="s">
        <v>102</v>
      </c>
      <c r="B95" s="2" t="s">
        <v>103</v>
      </c>
      <c r="C95" s="2" t="s">
        <v>104</v>
      </c>
      <c r="F95" s="6">
        <v>3</v>
      </c>
      <c r="H95" s="6">
        <v>3</v>
      </c>
      <c r="I95" s="8">
        <v>45131</v>
      </c>
      <c r="J95" s="10">
        <v>35</v>
      </c>
      <c r="K95" s="2" t="s">
        <v>78</v>
      </c>
      <c r="L95" s="2" t="s">
        <v>36</v>
      </c>
      <c r="M95" s="2" t="s">
        <v>63</v>
      </c>
    </row>
    <row r="96" spans="1:13" x14ac:dyDescent="0.2">
      <c r="A96" s="2" t="s">
        <v>102</v>
      </c>
      <c r="B96" s="2" t="s">
        <v>103</v>
      </c>
      <c r="C96" s="2" t="s">
        <v>105</v>
      </c>
      <c r="D96" s="6">
        <v>4175.25</v>
      </c>
      <c r="H96" s="6">
        <v>4175.25</v>
      </c>
      <c r="I96" s="8">
        <v>45166</v>
      </c>
      <c r="K96" s="2" t="s">
        <v>16</v>
      </c>
      <c r="L96" s="2" t="s">
        <v>36</v>
      </c>
      <c r="M96" s="2" t="s">
        <v>63</v>
      </c>
    </row>
    <row r="97" spans="1:13" customFormat="1" ht="15" x14ac:dyDescent="0.25">
      <c r="D97" s="14"/>
      <c r="E97" s="14"/>
      <c r="F97" s="14"/>
      <c r="G97" s="14"/>
      <c r="H97" s="14"/>
    </row>
    <row r="98" spans="1:13" s="4" customFormat="1" x14ac:dyDescent="0.2">
      <c r="A98" s="3" t="s">
        <v>102</v>
      </c>
      <c r="B98" s="3" t="s">
        <v>103</v>
      </c>
      <c r="C98" s="3" t="s">
        <v>16</v>
      </c>
      <c r="D98" s="5">
        <f>SUBTOTAL(9, D95:D97)</f>
        <v>4175.25</v>
      </c>
      <c r="E98" s="5">
        <f>SUBTOTAL(9, E95:E97)</f>
        <v>0</v>
      </c>
      <c r="F98" s="5">
        <f>SUBTOTAL(9, F95:F97)</f>
        <v>3</v>
      </c>
      <c r="G98" s="5">
        <f>SUBTOTAL(9, G95:G97)</f>
        <v>0</v>
      </c>
      <c r="H98" s="5">
        <f>SUBTOTAL(9, H95:H97)</f>
        <v>4178.25</v>
      </c>
      <c r="I98" s="7"/>
      <c r="J98" s="9"/>
      <c r="K98" s="3" t="s">
        <v>16</v>
      </c>
      <c r="L98" s="3" t="s">
        <v>16</v>
      </c>
      <c r="M98" s="3" t="s">
        <v>63</v>
      </c>
    </row>
    <row r="99" spans="1:13" customFormat="1" ht="15" x14ac:dyDescent="0.25">
      <c r="D99" s="14"/>
      <c r="E99" s="14"/>
      <c r="F99" s="14"/>
      <c r="G99" s="14"/>
      <c r="H99" s="14"/>
    </row>
    <row r="100" spans="1:13" x14ac:dyDescent="0.2">
      <c r="A100" s="2" t="s">
        <v>106</v>
      </c>
      <c r="B100" s="2" t="s">
        <v>107</v>
      </c>
      <c r="C100" s="2" t="s">
        <v>108</v>
      </c>
      <c r="E100" s="6">
        <v>2.79</v>
      </c>
      <c r="H100" s="6">
        <v>2.79</v>
      </c>
      <c r="I100" s="8">
        <v>45138</v>
      </c>
      <c r="J100" s="10">
        <v>28</v>
      </c>
      <c r="K100" s="2" t="s">
        <v>16</v>
      </c>
      <c r="L100" s="2" t="s">
        <v>25</v>
      </c>
      <c r="M100" s="2" t="s">
        <v>41</v>
      </c>
    </row>
    <row r="101" spans="1:13" x14ac:dyDescent="0.2">
      <c r="A101" s="2" t="s">
        <v>106</v>
      </c>
      <c r="B101" s="2" t="s">
        <v>107</v>
      </c>
      <c r="C101" s="2" t="s">
        <v>109</v>
      </c>
      <c r="E101" s="6">
        <v>399.84</v>
      </c>
      <c r="H101" s="6">
        <v>399.84</v>
      </c>
      <c r="I101" s="8">
        <v>45145</v>
      </c>
      <c r="J101" s="10">
        <v>21</v>
      </c>
      <c r="K101" s="2" t="s">
        <v>78</v>
      </c>
      <c r="L101" s="2" t="s">
        <v>25</v>
      </c>
      <c r="M101" s="2" t="s">
        <v>41</v>
      </c>
    </row>
    <row r="102" spans="1:13" x14ac:dyDescent="0.2">
      <c r="A102" s="2" t="s">
        <v>106</v>
      </c>
      <c r="B102" s="2" t="s">
        <v>107</v>
      </c>
      <c r="C102" s="2" t="s">
        <v>110</v>
      </c>
      <c r="E102" s="6">
        <v>142.51</v>
      </c>
      <c r="H102" s="6">
        <v>142.51</v>
      </c>
      <c r="I102" s="8">
        <v>45147</v>
      </c>
      <c r="J102" s="10">
        <v>19</v>
      </c>
      <c r="K102" s="2" t="s">
        <v>16</v>
      </c>
      <c r="L102" s="2" t="s">
        <v>25</v>
      </c>
      <c r="M102" s="2" t="s">
        <v>41</v>
      </c>
    </row>
    <row r="103" spans="1:13" x14ac:dyDescent="0.2">
      <c r="A103" s="2" t="s">
        <v>106</v>
      </c>
      <c r="B103" s="2" t="s">
        <v>107</v>
      </c>
      <c r="C103" s="2" t="s">
        <v>111</v>
      </c>
      <c r="D103" s="6">
        <v>999.6</v>
      </c>
      <c r="H103" s="6">
        <v>999.6</v>
      </c>
      <c r="I103" s="8">
        <v>45152</v>
      </c>
      <c r="J103" s="10">
        <v>14</v>
      </c>
      <c r="K103" s="2" t="s">
        <v>16</v>
      </c>
      <c r="L103" s="2" t="s">
        <v>25</v>
      </c>
      <c r="M103" s="2" t="s">
        <v>41</v>
      </c>
    </row>
    <row r="104" spans="1:13" x14ac:dyDescent="0.2">
      <c r="A104" s="2" t="s">
        <v>106</v>
      </c>
      <c r="B104" s="2" t="s">
        <v>107</v>
      </c>
      <c r="C104" s="2" t="s">
        <v>112</v>
      </c>
      <c r="D104" s="6">
        <v>999.6</v>
      </c>
      <c r="H104" s="6">
        <v>999.6</v>
      </c>
      <c r="I104" s="8">
        <v>45159</v>
      </c>
      <c r="J104" s="10">
        <v>7</v>
      </c>
      <c r="K104" s="2" t="s">
        <v>16</v>
      </c>
      <c r="L104" s="2" t="s">
        <v>25</v>
      </c>
      <c r="M104" s="2" t="s">
        <v>41</v>
      </c>
    </row>
    <row r="105" spans="1:13" x14ac:dyDescent="0.2">
      <c r="A105" s="2" t="s">
        <v>106</v>
      </c>
      <c r="B105" s="2" t="s">
        <v>107</v>
      </c>
      <c r="C105" s="2" t="s">
        <v>113</v>
      </c>
      <c r="D105" s="6">
        <v>142.51</v>
      </c>
      <c r="H105" s="6">
        <v>142.51</v>
      </c>
      <c r="I105" s="8">
        <v>45162</v>
      </c>
      <c r="J105" s="10">
        <v>4</v>
      </c>
      <c r="K105" s="2" t="s">
        <v>16</v>
      </c>
      <c r="L105" s="2" t="s">
        <v>25</v>
      </c>
      <c r="M105" s="2" t="s">
        <v>41</v>
      </c>
    </row>
    <row r="106" spans="1:13" x14ac:dyDescent="0.2">
      <c r="A106" s="2" t="s">
        <v>106</v>
      </c>
      <c r="B106" s="2" t="s">
        <v>107</v>
      </c>
      <c r="C106" s="2" t="s">
        <v>114</v>
      </c>
      <c r="D106" s="6">
        <v>533.12</v>
      </c>
      <c r="H106" s="6">
        <v>533.12</v>
      </c>
      <c r="I106" s="8">
        <v>45166</v>
      </c>
      <c r="K106" s="2" t="s">
        <v>16</v>
      </c>
      <c r="L106" s="2" t="s">
        <v>25</v>
      </c>
      <c r="M106" s="2" t="s">
        <v>41</v>
      </c>
    </row>
    <row r="107" spans="1:13" customFormat="1" ht="15" x14ac:dyDescent="0.25">
      <c r="D107" s="14"/>
      <c r="E107" s="14"/>
      <c r="F107" s="14"/>
      <c r="G107" s="14"/>
      <c r="H107" s="14"/>
    </row>
    <row r="108" spans="1:13" s="4" customFormat="1" x14ac:dyDescent="0.2">
      <c r="A108" s="3" t="s">
        <v>106</v>
      </c>
      <c r="B108" s="3" t="s">
        <v>107</v>
      </c>
      <c r="C108" s="3" t="s">
        <v>16</v>
      </c>
      <c r="D108" s="5">
        <f>SUBTOTAL(9, D100:D107)</f>
        <v>2674.83</v>
      </c>
      <c r="E108" s="5">
        <f>SUBTOTAL(9, E100:E107)</f>
        <v>545.14</v>
      </c>
      <c r="F108" s="5">
        <f>SUBTOTAL(9, F100:F107)</f>
        <v>0</v>
      </c>
      <c r="G108" s="5">
        <f>SUBTOTAL(9, G100:G107)</f>
        <v>0</v>
      </c>
      <c r="H108" s="5">
        <f>SUBTOTAL(9, H100:H107)</f>
        <v>3219.9700000000003</v>
      </c>
      <c r="I108" s="7"/>
      <c r="J108" s="9"/>
      <c r="K108" s="3" t="s">
        <v>16</v>
      </c>
      <c r="L108" s="3" t="s">
        <v>16</v>
      </c>
      <c r="M108" s="3" t="s">
        <v>41</v>
      </c>
    </row>
    <row r="109" spans="1:13" customFormat="1" ht="15" x14ac:dyDescent="0.25">
      <c r="D109" s="14"/>
      <c r="E109" s="14"/>
      <c r="F109" s="14"/>
      <c r="G109" s="14"/>
      <c r="H109" s="14"/>
    </row>
    <row r="110" spans="1:13" x14ac:dyDescent="0.2">
      <c r="A110" s="2" t="s">
        <v>115</v>
      </c>
      <c r="B110" s="2" t="s">
        <v>116</v>
      </c>
      <c r="C110" s="2" t="s">
        <v>117</v>
      </c>
      <c r="E110" s="6">
        <v>1875.96</v>
      </c>
      <c r="H110" s="6">
        <v>1875.96</v>
      </c>
      <c r="I110" s="8">
        <v>45138</v>
      </c>
      <c r="J110" s="10">
        <v>28</v>
      </c>
      <c r="K110" s="2" t="s">
        <v>78</v>
      </c>
      <c r="L110" s="2" t="s">
        <v>118</v>
      </c>
      <c r="M110" s="2" t="s">
        <v>59</v>
      </c>
    </row>
    <row r="111" spans="1:13" x14ac:dyDescent="0.2">
      <c r="A111" s="2" t="s">
        <v>115</v>
      </c>
      <c r="B111" s="2" t="s">
        <v>116</v>
      </c>
      <c r="C111" s="2" t="s">
        <v>119</v>
      </c>
      <c r="D111" s="6">
        <v>2076.9499999999998</v>
      </c>
      <c r="H111" s="6">
        <v>2076.9499999999998</v>
      </c>
      <c r="I111" s="8">
        <v>45152</v>
      </c>
      <c r="J111" s="10">
        <v>14</v>
      </c>
      <c r="K111" s="2" t="s">
        <v>78</v>
      </c>
      <c r="L111" s="2" t="s">
        <v>118</v>
      </c>
      <c r="M111" s="2" t="s">
        <v>59</v>
      </c>
    </row>
    <row r="112" spans="1:13" x14ac:dyDescent="0.2">
      <c r="A112" s="2" t="s">
        <v>115</v>
      </c>
      <c r="B112" s="2" t="s">
        <v>116</v>
      </c>
      <c r="C112" s="2" t="s">
        <v>120</v>
      </c>
      <c r="D112" s="6">
        <v>2880.93</v>
      </c>
      <c r="H112" s="6">
        <v>2880.93</v>
      </c>
      <c r="I112" s="8">
        <v>45166</v>
      </c>
      <c r="K112" s="2" t="s">
        <v>16</v>
      </c>
      <c r="L112" s="2" t="s">
        <v>118</v>
      </c>
      <c r="M112" s="2" t="s">
        <v>59</v>
      </c>
    </row>
    <row r="113" spans="1:13" customFormat="1" ht="15" x14ac:dyDescent="0.25">
      <c r="D113" s="14"/>
      <c r="E113" s="14"/>
      <c r="F113" s="14"/>
      <c r="G113" s="14"/>
      <c r="H113" s="14"/>
    </row>
    <row r="114" spans="1:13" s="4" customFormat="1" x14ac:dyDescent="0.2">
      <c r="A114" s="3" t="s">
        <v>115</v>
      </c>
      <c r="B114" s="3" t="s">
        <v>116</v>
      </c>
      <c r="C114" s="3" t="s">
        <v>16</v>
      </c>
      <c r="D114" s="5">
        <f>SUBTOTAL(9, D110:D113)</f>
        <v>4957.8799999999992</v>
      </c>
      <c r="E114" s="5">
        <f>SUBTOTAL(9, E110:E113)</f>
        <v>1875.96</v>
      </c>
      <c r="F114" s="5">
        <f>SUBTOTAL(9, F110:F113)</f>
        <v>0</v>
      </c>
      <c r="G114" s="5">
        <f>SUBTOTAL(9, G110:G113)</f>
        <v>0</v>
      </c>
      <c r="H114" s="5">
        <f>SUBTOTAL(9, H110:H113)</f>
        <v>6833.84</v>
      </c>
      <c r="I114" s="7"/>
      <c r="J114" s="9"/>
      <c r="K114" s="3" t="s">
        <v>16</v>
      </c>
      <c r="L114" s="3" t="s">
        <v>16</v>
      </c>
      <c r="M114" s="3" t="s">
        <v>59</v>
      </c>
    </row>
    <row r="115" spans="1:13" customFormat="1" ht="15" x14ac:dyDescent="0.25">
      <c r="D115" s="14"/>
      <c r="E115" s="14"/>
      <c r="F115" s="14"/>
      <c r="G115" s="14"/>
      <c r="H115" s="14"/>
    </row>
    <row r="116" spans="1:13" x14ac:dyDescent="0.2">
      <c r="A116" s="2" t="s">
        <v>121</v>
      </c>
      <c r="B116" s="2" t="s">
        <v>122</v>
      </c>
      <c r="C116" s="2" t="s">
        <v>123</v>
      </c>
      <c r="D116" s="6">
        <v>725</v>
      </c>
      <c r="H116" s="6">
        <v>725</v>
      </c>
      <c r="I116" s="8">
        <v>45166</v>
      </c>
      <c r="K116" s="2" t="s">
        <v>16</v>
      </c>
      <c r="L116" s="2" t="s">
        <v>36</v>
      </c>
      <c r="M116" s="2" t="s">
        <v>63</v>
      </c>
    </row>
    <row r="117" spans="1:13" customFormat="1" ht="15" x14ac:dyDescent="0.25">
      <c r="D117" s="14"/>
      <c r="E117" s="14"/>
      <c r="F117" s="14"/>
      <c r="G117" s="14"/>
      <c r="H117" s="14"/>
    </row>
    <row r="118" spans="1:13" s="4" customFormat="1" x14ac:dyDescent="0.2">
      <c r="A118" s="3" t="s">
        <v>121</v>
      </c>
      <c r="B118" s="3" t="s">
        <v>122</v>
      </c>
      <c r="C118" s="3" t="s">
        <v>16</v>
      </c>
      <c r="D118" s="5">
        <f>SUBTOTAL(9, D116:D117)</f>
        <v>725</v>
      </c>
      <c r="E118" s="5">
        <f>SUBTOTAL(9, E116:E117)</f>
        <v>0</v>
      </c>
      <c r="F118" s="5">
        <f>SUBTOTAL(9, F116:F117)</f>
        <v>0</v>
      </c>
      <c r="G118" s="5">
        <f>SUBTOTAL(9, G116:G117)</f>
        <v>0</v>
      </c>
      <c r="H118" s="5">
        <f>SUBTOTAL(9, H116:H117)</f>
        <v>725</v>
      </c>
      <c r="I118" s="7"/>
      <c r="J118" s="9"/>
      <c r="K118" s="3" t="s">
        <v>16</v>
      </c>
      <c r="L118" s="3" t="s">
        <v>16</v>
      </c>
      <c r="M118" s="3" t="s">
        <v>63</v>
      </c>
    </row>
    <row r="119" spans="1:13" customFormat="1" ht="15" x14ac:dyDescent="0.25">
      <c r="D119" s="14"/>
      <c r="E119" s="14"/>
      <c r="F119" s="14"/>
      <c r="G119" s="14"/>
      <c r="H119" s="14"/>
    </row>
    <row r="120" spans="1:13" x14ac:dyDescent="0.2">
      <c r="A120" s="2" t="s">
        <v>124</v>
      </c>
      <c r="B120" s="2" t="s">
        <v>125</v>
      </c>
      <c r="C120" s="2" t="s">
        <v>126</v>
      </c>
      <c r="F120" s="6">
        <v>-46.59</v>
      </c>
      <c r="H120" s="6">
        <v>-46.59</v>
      </c>
      <c r="I120" s="8">
        <v>45124</v>
      </c>
      <c r="J120" s="10">
        <v>42</v>
      </c>
      <c r="K120" s="2" t="s">
        <v>16</v>
      </c>
      <c r="L120" s="2" t="s">
        <v>17</v>
      </c>
      <c r="M120" s="2" t="s">
        <v>63</v>
      </c>
    </row>
    <row r="121" spans="1:13" x14ac:dyDescent="0.2">
      <c r="A121" s="2" t="s">
        <v>124</v>
      </c>
      <c r="B121" s="2" t="s">
        <v>125</v>
      </c>
      <c r="C121" s="2" t="s">
        <v>127</v>
      </c>
      <c r="D121" s="6">
        <v>700.54</v>
      </c>
      <c r="H121" s="6">
        <v>700.54</v>
      </c>
      <c r="I121" s="8">
        <v>45155</v>
      </c>
      <c r="J121" s="10">
        <v>11</v>
      </c>
      <c r="K121" s="2" t="s">
        <v>16</v>
      </c>
      <c r="L121" s="2" t="s">
        <v>17</v>
      </c>
      <c r="M121" s="2" t="s">
        <v>63</v>
      </c>
    </row>
    <row r="122" spans="1:13" customFormat="1" ht="15" x14ac:dyDescent="0.25">
      <c r="D122" s="14"/>
      <c r="E122" s="14"/>
      <c r="F122" s="14"/>
      <c r="G122" s="14"/>
      <c r="H122" s="14"/>
    </row>
    <row r="123" spans="1:13" s="4" customFormat="1" x14ac:dyDescent="0.2">
      <c r="A123" s="3" t="s">
        <v>124</v>
      </c>
      <c r="B123" s="3" t="s">
        <v>125</v>
      </c>
      <c r="C123" s="3" t="s">
        <v>16</v>
      </c>
      <c r="D123" s="5">
        <f>SUBTOTAL(9, D120:D122)</f>
        <v>700.54</v>
      </c>
      <c r="E123" s="5">
        <f>SUBTOTAL(9, E120:E122)</f>
        <v>0</v>
      </c>
      <c r="F123" s="5">
        <f>SUBTOTAL(9, F120:F122)</f>
        <v>-46.59</v>
      </c>
      <c r="G123" s="5">
        <f>SUBTOTAL(9, G120:G122)</f>
        <v>0</v>
      </c>
      <c r="H123" s="5">
        <f>SUBTOTAL(9, H120:H122)</f>
        <v>653.94999999999993</v>
      </c>
      <c r="I123" s="7"/>
      <c r="J123" s="9"/>
      <c r="K123" s="3" t="s">
        <v>16</v>
      </c>
      <c r="L123" s="3" t="s">
        <v>16</v>
      </c>
      <c r="M123" s="3" t="s">
        <v>63</v>
      </c>
    </row>
    <row r="124" spans="1:13" customFormat="1" ht="15" x14ac:dyDescent="0.25">
      <c r="D124" s="14"/>
      <c r="E124" s="14"/>
      <c r="F124" s="14"/>
      <c r="G124" s="14"/>
      <c r="H124" s="14"/>
    </row>
    <row r="125" spans="1:13" x14ac:dyDescent="0.2">
      <c r="A125" s="2" t="s">
        <v>128</v>
      </c>
      <c r="B125" s="2" t="s">
        <v>129</v>
      </c>
      <c r="C125" s="2" t="s">
        <v>130</v>
      </c>
      <c r="D125" s="6">
        <v>632.86</v>
      </c>
      <c r="H125" s="6">
        <v>632.86</v>
      </c>
      <c r="I125" s="8">
        <v>45159</v>
      </c>
      <c r="J125" s="10">
        <v>7</v>
      </c>
      <c r="K125" s="2" t="s">
        <v>16</v>
      </c>
      <c r="L125" s="2" t="s">
        <v>36</v>
      </c>
      <c r="M125" s="2" t="s">
        <v>63</v>
      </c>
    </row>
    <row r="126" spans="1:13" x14ac:dyDescent="0.2">
      <c r="A126" s="2" t="s">
        <v>128</v>
      </c>
      <c r="B126" s="2" t="s">
        <v>129</v>
      </c>
      <c r="C126" s="2" t="s">
        <v>131</v>
      </c>
      <c r="D126" s="6">
        <v>-84.67</v>
      </c>
      <c r="H126" s="6">
        <v>-84.67</v>
      </c>
      <c r="I126" s="8">
        <v>45162</v>
      </c>
      <c r="J126" s="10">
        <v>4</v>
      </c>
      <c r="K126" s="2" t="s">
        <v>16</v>
      </c>
      <c r="L126" s="2" t="s">
        <v>36</v>
      </c>
      <c r="M126" s="2" t="s">
        <v>63</v>
      </c>
    </row>
    <row r="127" spans="1:13" x14ac:dyDescent="0.2">
      <c r="A127" s="2" t="s">
        <v>128</v>
      </c>
      <c r="B127" s="2" t="s">
        <v>129</v>
      </c>
      <c r="C127" s="2" t="s">
        <v>132</v>
      </c>
      <c r="D127" s="6">
        <v>646.02</v>
      </c>
      <c r="H127" s="6">
        <v>646.02</v>
      </c>
      <c r="I127" s="8">
        <v>45166</v>
      </c>
      <c r="K127" s="2" t="s">
        <v>16</v>
      </c>
      <c r="L127" s="2" t="s">
        <v>36</v>
      </c>
      <c r="M127" s="2" t="s">
        <v>63</v>
      </c>
    </row>
    <row r="128" spans="1:13" customFormat="1" ht="15" x14ac:dyDescent="0.25">
      <c r="D128" s="14"/>
      <c r="E128" s="14"/>
      <c r="F128" s="14"/>
      <c r="G128" s="14"/>
      <c r="H128" s="14"/>
    </row>
    <row r="129" spans="1:13" s="4" customFormat="1" x14ac:dyDescent="0.2">
      <c r="A129" s="3" t="s">
        <v>128</v>
      </c>
      <c r="B129" s="3" t="s">
        <v>129</v>
      </c>
      <c r="C129" s="3" t="s">
        <v>16</v>
      </c>
      <c r="D129" s="5">
        <f>SUBTOTAL(9, D125:D128)</f>
        <v>1194.21</v>
      </c>
      <c r="E129" s="5">
        <f>SUBTOTAL(9, E125:E128)</f>
        <v>0</v>
      </c>
      <c r="F129" s="5">
        <f>SUBTOTAL(9, F125:F128)</f>
        <v>0</v>
      </c>
      <c r="G129" s="5">
        <f>SUBTOTAL(9, G125:G128)</f>
        <v>0</v>
      </c>
      <c r="H129" s="5">
        <f>SUBTOTAL(9, H125:H128)</f>
        <v>1194.21</v>
      </c>
      <c r="I129" s="7"/>
      <c r="J129" s="9"/>
      <c r="K129" s="3" t="s">
        <v>16</v>
      </c>
      <c r="L129" s="3" t="s">
        <v>16</v>
      </c>
      <c r="M129" s="3" t="s">
        <v>63</v>
      </c>
    </row>
    <row r="130" spans="1:13" customFormat="1" ht="15" x14ac:dyDescent="0.25">
      <c r="D130" s="14"/>
      <c r="E130" s="14"/>
      <c r="F130" s="14"/>
      <c r="G130" s="14"/>
      <c r="H130" s="14"/>
    </row>
    <row r="131" spans="1:13" x14ac:dyDescent="0.2">
      <c r="A131" s="2" t="s">
        <v>133</v>
      </c>
      <c r="B131" s="2" t="s">
        <v>134</v>
      </c>
      <c r="C131" s="2" t="s">
        <v>135</v>
      </c>
      <c r="E131" s="6">
        <v>1736.57</v>
      </c>
      <c r="H131" s="6">
        <v>1736.57</v>
      </c>
      <c r="I131" s="8">
        <v>45147</v>
      </c>
      <c r="J131" s="10">
        <v>19</v>
      </c>
      <c r="K131" s="2" t="s">
        <v>16</v>
      </c>
      <c r="L131" s="2" t="s">
        <v>17</v>
      </c>
      <c r="M131" s="2" t="s">
        <v>70</v>
      </c>
    </row>
    <row r="132" spans="1:13" customFormat="1" ht="15" x14ac:dyDescent="0.25">
      <c r="D132" s="14"/>
      <c r="E132" s="14"/>
      <c r="F132" s="14"/>
      <c r="G132" s="14"/>
      <c r="H132" s="14"/>
    </row>
    <row r="133" spans="1:13" s="4" customFormat="1" x14ac:dyDescent="0.2">
      <c r="A133" s="3" t="s">
        <v>133</v>
      </c>
      <c r="B133" s="3" t="s">
        <v>134</v>
      </c>
      <c r="C133" s="3" t="s">
        <v>16</v>
      </c>
      <c r="D133" s="5">
        <f>SUBTOTAL(9, D131:D132)</f>
        <v>0</v>
      </c>
      <c r="E133" s="5">
        <f>SUBTOTAL(9, E131:E132)</f>
        <v>1736.57</v>
      </c>
      <c r="F133" s="5">
        <f>SUBTOTAL(9, F131:F132)</f>
        <v>0</v>
      </c>
      <c r="G133" s="5">
        <f>SUBTOTAL(9, G131:G132)</f>
        <v>0</v>
      </c>
      <c r="H133" s="5">
        <f>SUBTOTAL(9, H131:H132)</f>
        <v>1736.57</v>
      </c>
      <c r="I133" s="7"/>
      <c r="J133" s="9"/>
      <c r="K133" s="3" t="s">
        <v>16</v>
      </c>
      <c r="L133" s="3" t="s">
        <v>16</v>
      </c>
      <c r="M133" s="3" t="s">
        <v>70</v>
      </c>
    </row>
    <row r="134" spans="1:13" customFormat="1" ht="15" x14ac:dyDescent="0.25">
      <c r="D134" s="14"/>
      <c r="E134" s="14"/>
      <c r="F134" s="14"/>
      <c r="G134" s="14"/>
      <c r="H134" s="14"/>
    </row>
    <row r="135" spans="1:13" x14ac:dyDescent="0.2">
      <c r="A135" s="2" t="s">
        <v>136</v>
      </c>
      <c r="B135" s="2" t="s">
        <v>137</v>
      </c>
      <c r="C135" s="2" t="s">
        <v>138</v>
      </c>
      <c r="D135" s="6">
        <v>503.99</v>
      </c>
      <c r="H135" s="6">
        <v>503.99</v>
      </c>
      <c r="I135" s="8">
        <v>45153</v>
      </c>
      <c r="J135" s="10">
        <v>13</v>
      </c>
      <c r="K135" s="2" t="s">
        <v>16</v>
      </c>
      <c r="L135" s="2" t="s">
        <v>25</v>
      </c>
      <c r="M135" s="2" t="s">
        <v>59</v>
      </c>
    </row>
    <row r="136" spans="1:13" x14ac:dyDescent="0.2">
      <c r="A136" s="2" t="s">
        <v>136</v>
      </c>
      <c r="B136" s="2" t="s">
        <v>137</v>
      </c>
      <c r="C136" s="2" t="s">
        <v>139</v>
      </c>
      <c r="D136" s="6">
        <v>97.46</v>
      </c>
      <c r="H136" s="6">
        <v>97.46</v>
      </c>
      <c r="I136" s="8">
        <v>45153</v>
      </c>
      <c r="J136" s="10">
        <v>13</v>
      </c>
      <c r="K136" s="2" t="s">
        <v>16</v>
      </c>
      <c r="L136" s="2" t="s">
        <v>25</v>
      </c>
      <c r="M136" s="2" t="s">
        <v>59</v>
      </c>
    </row>
    <row r="137" spans="1:13" x14ac:dyDescent="0.2">
      <c r="A137" s="2" t="s">
        <v>136</v>
      </c>
      <c r="B137" s="2" t="s">
        <v>137</v>
      </c>
      <c r="C137" s="2" t="s">
        <v>140</v>
      </c>
      <c r="D137" s="6">
        <v>1362.56</v>
      </c>
      <c r="H137" s="6">
        <v>1362.56</v>
      </c>
      <c r="I137" s="8">
        <v>45155</v>
      </c>
      <c r="J137" s="10">
        <v>11</v>
      </c>
      <c r="K137" s="2" t="s">
        <v>16</v>
      </c>
      <c r="L137" s="2" t="s">
        <v>25</v>
      </c>
      <c r="M137" s="2" t="s">
        <v>59</v>
      </c>
    </row>
    <row r="138" spans="1:13" customFormat="1" ht="15" x14ac:dyDescent="0.25">
      <c r="D138" s="14"/>
      <c r="E138" s="14"/>
      <c r="F138" s="14"/>
      <c r="G138" s="14"/>
      <c r="H138" s="14"/>
    </row>
    <row r="139" spans="1:13" s="4" customFormat="1" x14ac:dyDescent="0.2">
      <c r="A139" s="3" t="s">
        <v>136</v>
      </c>
      <c r="B139" s="3" t="s">
        <v>137</v>
      </c>
      <c r="C139" s="3" t="s">
        <v>16</v>
      </c>
      <c r="D139" s="5">
        <f>SUBTOTAL(9, D135:D138)</f>
        <v>1964.01</v>
      </c>
      <c r="E139" s="5">
        <f>SUBTOTAL(9, E135:E138)</f>
        <v>0</v>
      </c>
      <c r="F139" s="5">
        <f>SUBTOTAL(9, F135:F138)</f>
        <v>0</v>
      </c>
      <c r="G139" s="5">
        <f>SUBTOTAL(9, G135:G138)</f>
        <v>0</v>
      </c>
      <c r="H139" s="5">
        <f>SUBTOTAL(9, H135:H138)</f>
        <v>1964.01</v>
      </c>
      <c r="I139" s="7"/>
      <c r="J139" s="9"/>
      <c r="K139" s="3" t="s">
        <v>16</v>
      </c>
      <c r="L139" s="3" t="s">
        <v>16</v>
      </c>
      <c r="M139" s="3" t="s">
        <v>59</v>
      </c>
    </row>
    <row r="140" spans="1:13" customFormat="1" ht="15" x14ac:dyDescent="0.25">
      <c r="D140" s="14"/>
      <c r="E140" s="14"/>
      <c r="F140" s="14"/>
      <c r="G140" s="14"/>
      <c r="H140" s="14"/>
    </row>
    <row r="141" spans="1:13" x14ac:dyDescent="0.2">
      <c r="A141" s="2" t="s">
        <v>141</v>
      </c>
      <c r="B141" s="2" t="s">
        <v>142</v>
      </c>
      <c r="C141" s="2" t="s">
        <v>143</v>
      </c>
      <c r="D141" s="6">
        <v>803.98</v>
      </c>
      <c r="H141" s="6">
        <v>803.98</v>
      </c>
      <c r="I141" s="8">
        <v>45153</v>
      </c>
      <c r="J141" s="10">
        <v>13</v>
      </c>
      <c r="K141" s="2" t="s">
        <v>16</v>
      </c>
      <c r="L141" s="2" t="s">
        <v>36</v>
      </c>
      <c r="M141" s="2" t="s">
        <v>59</v>
      </c>
    </row>
    <row r="142" spans="1:13" customFormat="1" ht="15" x14ac:dyDescent="0.25">
      <c r="D142" s="14"/>
      <c r="E142" s="14"/>
      <c r="F142" s="14"/>
      <c r="G142" s="14"/>
      <c r="H142" s="14"/>
    </row>
    <row r="143" spans="1:13" s="4" customFormat="1" x14ac:dyDescent="0.2">
      <c r="A143" s="3" t="s">
        <v>141</v>
      </c>
      <c r="B143" s="3" t="s">
        <v>142</v>
      </c>
      <c r="C143" s="3" t="s">
        <v>16</v>
      </c>
      <c r="D143" s="5">
        <f>SUBTOTAL(9, D141:D142)</f>
        <v>803.98</v>
      </c>
      <c r="E143" s="5">
        <f>SUBTOTAL(9, E141:E142)</f>
        <v>0</v>
      </c>
      <c r="F143" s="5">
        <f>SUBTOTAL(9, F141:F142)</f>
        <v>0</v>
      </c>
      <c r="G143" s="5">
        <f>SUBTOTAL(9, G141:G142)</f>
        <v>0</v>
      </c>
      <c r="H143" s="5">
        <f>SUBTOTAL(9, H141:H142)</f>
        <v>803.98</v>
      </c>
      <c r="I143" s="7"/>
      <c r="J143" s="9"/>
      <c r="K143" s="3" t="s">
        <v>16</v>
      </c>
      <c r="L143" s="3" t="s">
        <v>16</v>
      </c>
      <c r="M143" s="3" t="s">
        <v>59</v>
      </c>
    </row>
    <row r="144" spans="1:13" customFormat="1" ht="15" x14ac:dyDescent="0.25">
      <c r="D144" s="14"/>
      <c r="E144" s="14"/>
      <c r="F144" s="14"/>
      <c r="G144" s="14"/>
      <c r="H144" s="14"/>
    </row>
    <row r="145" spans="1:13" x14ac:dyDescent="0.2">
      <c r="A145" s="2" t="s">
        <v>144</v>
      </c>
      <c r="B145" s="2" t="s">
        <v>145</v>
      </c>
      <c r="C145" s="2" t="s">
        <v>146</v>
      </c>
      <c r="E145" s="6">
        <v>187.49</v>
      </c>
      <c r="H145" s="6">
        <v>187.49</v>
      </c>
      <c r="I145" s="8">
        <v>45141</v>
      </c>
      <c r="J145" s="10">
        <v>25</v>
      </c>
      <c r="K145" s="2" t="s">
        <v>16</v>
      </c>
      <c r="L145" s="2" t="s">
        <v>17</v>
      </c>
      <c r="M145" s="2" t="s">
        <v>70</v>
      </c>
    </row>
    <row r="146" spans="1:13" customFormat="1" ht="15" x14ac:dyDescent="0.25">
      <c r="D146" s="14"/>
      <c r="E146" s="14"/>
      <c r="F146" s="14"/>
      <c r="G146" s="14"/>
      <c r="H146" s="14"/>
    </row>
    <row r="147" spans="1:13" s="4" customFormat="1" x14ac:dyDescent="0.2">
      <c r="A147" s="3" t="s">
        <v>144</v>
      </c>
      <c r="B147" s="3" t="s">
        <v>145</v>
      </c>
      <c r="C147" s="3" t="s">
        <v>16</v>
      </c>
      <c r="D147" s="5">
        <f>SUBTOTAL(9, D145:D146)</f>
        <v>0</v>
      </c>
      <c r="E147" s="5">
        <f>SUBTOTAL(9, E145:E146)</f>
        <v>187.49</v>
      </c>
      <c r="F147" s="5">
        <f>SUBTOTAL(9, F145:F146)</f>
        <v>0</v>
      </c>
      <c r="G147" s="5">
        <f>SUBTOTAL(9, G145:G146)</f>
        <v>0</v>
      </c>
      <c r="H147" s="5">
        <f>SUBTOTAL(9, H145:H146)</f>
        <v>187.49</v>
      </c>
      <c r="I147" s="7"/>
      <c r="J147" s="9"/>
      <c r="K147" s="3" t="s">
        <v>16</v>
      </c>
      <c r="L147" s="3" t="s">
        <v>16</v>
      </c>
      <c r="M147" s="3" t="s">
        <v>70</v>
      </c>
    </row>
    <row r="148" spans="1:13" customFormat="1" ht="15" x14ac:dyDescent="0.25">
      <c r="D148" s="14"/>
      <c r="E148" s="14"/>
      <c r="F148" s="14"/>
      <c r="G148" s="14"/>
      <c r="H148" s="14"/>
    </row>
    <row r="149" spans="1:13" x14ac:dyDescent="0.2">
      <c r="A149" s="2" t="s">
        <v>147</v>
      </c>
      <c r="B149" s="2" t="s">
        <v>148</v>
      </c>
      <c r="C149" s="2" t="s">
        <v>149</v>
      </c>
      <c r="D149" s="6">
        <v>839.82</v>
      </c>
      <c r="H149" s="6">
        <v>839.82</v>
      </c>
      <c r="I149" s="8">
        <v>45159</v>
      </c>
      <c r="J149" s="10">
        <v>7</v>
      </c>
      <c r="K149" s="2" t="s">
        <v>16</v>
      </c>
      <c r="L149" s="2" t="s">
        <v>36</v>
      </c>
      <c r="M149" s="2" t="s">
        <v>63</v>
      </c>
    </row>
    <row r="150" spans="1:13" x14ac:dyDescent="0.2">
      <c r="A150" s="2" t="s">
        <v>147</v>
      </c>
      <c r="B150" s="2" t="s">
        <v>148</v>
      </c>
      <c r="C150" s="2" t="s">
        <v>150</v>
      </c>
      <c r="D150" s="6">
        <v>904.42</v>
      </c>
      <c r="H150" s="6">
        <v>904.42</v>
      </c>
      <c r="I150" s="8">
        <v>45166</v>
      </c>
      <c r="K150" s="2" t="s">
        <v>16</v>
      </c>
      <c r="L150" s="2" t="s">
        <v>36</v>
      </c>
      <c r="M150" s="2" t="s">
        <v>63</v>
      </c>
    </row>
    <row r="151" spans="1:13" customFormat="1" ht="15" x14ac:dyDescent="0.25">
      <c r="D151" s="14"/>
      <c r="E151" s="14"/>
      <c r="F151" s="14"/>
      <c r="G151" s="14"/>
      <c r="H151" s="14"/>
    </row>
    <row r="152" spans="1:13" s="4" customFormat="1" x14ac:dyDescent="0.2">
      <c r="A152" s="3" t="s">
        <v>147</v>
      </c>
      <c r="B152" s="3" t="s">
        <v>148</v>
      </c>
      <c r="C152" s="3" t="s">
        <v>16</v>
      </c>
      <c r="D152" s="5">
        <f>SUBTOTAL(9, D149:D151)</f>
        <v>1744.24</v>
      </c>
      <c r="E152" s="5">
        <f>SUBTOTAL(9, E149:E151)</f>
        <v>0</v>
      </c>
      <c r="F152" s="5">
        <f>SUBTOTAL(9, F149:F151)</f>
        <v>0</v>
      </c>
      <c r="G152" s="5">
        <f>SUBTOTAL(9, G149:G151)</f>
        <v>0</v>
      </c>
      <c r="H152" s="5">
        <f>SUBTOTAL(9, H149:H151)</f>
        <v>1744.24</v>
      </c>
      <c r="I152" s="7"/>
      <c r="J152" s="9"/>
      <c r="K152" s="3" t="s">
        <v>16</v>
      </c>
      <c r="L152" s="3" t="s">
        <v>16</v>
      </c>
      <c r="M152" s="3" t="s">
        <v>63</v>
      </c>
    </row>
    <row r="153" spans="1:13" customFormat="1" ht="15" x14ac:dyDescent="0.25">
      <c r="D153" s="14"/>
      <c r="E153" s="14"/>
      <c r="F153" s="14"/>
      <c r="G153" s="14"/>
      <c r="H153" s="14"/>
    </row>
    <row r="154" spans="1:13" x14ac:dyDescent="0.2">
      <c r="A154" s="2" t="s">
        <v>151</v>
      </c>
      <c r="B154" s="2" t="s">
        <v>152</v>
      </c>
      <c r="C154" s="2" t="s">
        <v>153</v>
      </c>
      <c r="D154" s="6">
        <v>5440.74</v>
      </c>
      <c r="H154" s="6">
        <v>5440.74</v>
      </c>
      <c r="I154" s="8">
        <v>45152</v>
      </c>
      <c r="J154" s="10">
        <v>14</v>
      </c>
      <c r="K154" s="2" t="s">
        <v>78</v>
      </c>
      <c r="L154" s="2" t="s">
        <v>36</v>
      </c>
      <c r="M154" s="2" t="s">
        <v>59</v>
      </c>
    </row>
    <row r="155" spans="1:13" x14ac:dyDescent="0.2">
      <c r="A155" s="2" t="s">
        <v>151</v>
      </c>
      <c r="B155" s="2" t="s">
        <v>152</v>
      </c>
      <c r="C155" s="2" t="s">
        <v>154</v>
      </c>
      <c r="D155" s="6">
        <v>3396.24</v>
      </c>
      <c r="H155" s="6">
        <v>3396.24</v>
      </c>
      <c r="I155" s="8">
        <v>45166</v>
      </c>
      <c r="K155" s="2" t="s">
        <v>16</v>
      </c>
      <c r="L155" s="2" t="s">
        <v>36</v>
      </c>
      <c r="M155" s="2" t="s">
        <v>59</v>
      </c>
    </row>
    <row r="156" spans="1:13" customFormat="1" ht="15" x14ac:dyDescent="0.25">
      <c r="D156" s="14"/>
      <c r="E156" s="14"/>
      <c r="F156" s="14"/>
      <c r="G156" s="14"/>
      <c r="H156" s="14"/>
    </row>
    <row r="157" spans="1:13" s="4" customFormat="1" x14ac:dyDescent="0.2">
      <c r="A157" s="3" t="s">
        <v>151</v>
      </c>
      <c r="B157" s="3" t="s">
        <v>152</v>
      </c>
      <c r="C157" s="3" t="s">
        <v>16</v>
      </c>
      <c r="D157" s="5">
        <f>SUBTOTAL(9, D154:D156)</f>
        <v>8836.98</v>
      </c>
      <c r="E157" s="5">
        <f>SUBTOTAL(9, E154:E156)</f>
        <v>0</v>
      </c>
      <c r="F157" s="5">
        <f>SUBTOTAL(9, F154:F156)</f>
        <v>0</v>
      </c>
      <c r="G157" s="5">
        <f>SUBTOTAL(9, G154:G156)</f>
        <v>0</v>
      </c>
      <c r="H157" s="5">
        <f>SUBTOTAL(9, H154:H156)</f>
        <v>8836.98</v>
      </c>
      <c r="I157" s="7"/>
      <c r="J157" s="9"/>
      <c r="K157" s="3" t="s">
        <v>16</v>
      </c>
      <c r="L157" s="3" t="s">
        <v>16</v>
      </c>
      <c r="M157" s="3" t="s">
        <v>59</v>
      </c>
    </row>
    <row r="158" spans="1:13" customFormat="1" ht="15" x14ac:dyDescent="0.25">
      <c r="D158" s="14"/>
      <c r="E158" s="14"/>
      <c r="F158" s="14"/>
      <c r="G158" s="14"/>
      <c r="H158" s="14"/>
    </row>
    <row r="159" spans="1:13" x14ac:dyDescent="0.2">
      <c r="A159" s="2" t="s">
        <v>155</v>
      </c>
      <c r="B159" s="2" t="s">
        <v>156</v>
      </c>
      <c r="C159" s="2" t="s">
        <v>157</v>
      </c>
      <c r="D159" s="6">
        <v>1604.47</v>
      </c>
      <c r="H159" s="6">
        <v>1604.47</v>
      </c>
      <c r="I159" s="8">
        <v>45166</v>
      </c>
      <c r="K159" s="2" t="s">
        <v>16</v>
      </c>
      <c r="L159" s="2" t="s">
        <v>25</v>
      </c>
      <c r="M159" s="2" t="s">
        <v>59</v>
      </c>
    </row>
    <row r="160" spans="1:13" customFormat="1" ht="15" x14ac:dyDescent="0.25">
      <c r="D160" s="14"/>
      <c r="E160" s="14"/>
      <c r="F160" s="14"/>
      <c r="G160" s="14"/>
      <c r="H160" s="14"/>
    </row>
    <row r="161" spans="1:13" s="4" customFormat="1" x14ac:dyDescent="0.2">
      <c r="A161" s="3" t="s">
        <v>155</v>
      </c>
      <c r="B161" s="3" t="s">
        <v>156</v>
      </c>
      <c r="C161" s="3" t="s">
        <v>16</v>
      </c>
      <c r="D161" s="5">
        <f>SUBTOTAL(9, D159:D160)</f>
        <v>1604.47</v>
      </c>
      <c r="E161" s="5">
        <f>SUBTOTAL(9, E159:E160)</f>
        <v>0</v>
      </c>
      <c r="F161" s="5">
        <f>SUBTOTAL(9, F159:F160)</f>
        <v>0</v>
      </c>
      <c r="G161" s="5">
        <f>SUBTOTAL(9, G159:G160)</f>
        <v>0</v>
      </c>
      <c r="H161" s="5">
        <f>SUBTOTAL(9, H159:H160)</f>
        <v>1604.47</v>
      </c>
      <c r="I161" s="7"/>
      <c r="J161" s="9"/>
      <c r="K161" s="3" t="s">
        <v>16</v>
      </c>
      <c r="L161" s="3" t="s">
        <v>16</v>
      </c>
      <c r="M161" s="3" t="s">
        <v>59</v>
      </c>
    </row>
    <row r="162" spans="1:13" customFormat="1" ht="15" x14ac:dyDescent="0.25">
      <c r="D162" s="14"/>
      <c r="E162" s="14"/>
      <c r="F162" s="14"/>
      <c r="G162" s="14"/>
      <c r="H162" s="14"/>
    </row>
    <row r="163" spans="1:13" x14ac:dyDescent="0.2">
      <c r="A163" s="2" t="s">
        <v>158</v>
      </c>
      <c r="B163" s="2" t="s">
        <v>159</v>
      </c>
      <c r="C163" s="2" t="s">
        <v>160</v>
      </c>
      <c r="D163" s="6">
        <v>170.51</v>
      </c>
      <c r="H163" s="6">
        <v>170.51</v>
      </c>
      <c r="I163" s="8">
        <v>45153</v>
      </c>
      <c r="J163" s="10">
        <v>13</v>
      </c>
      <c r="K163" s="2" t="s">
        <v>16</v>
      </c>
      <c r="L163" s="2" t="s">
        <v>36</v>
      </c>
      <c r="M163" s="2" t="s">
        <v>59</v>
      </c>
    </row>
    <row r="164" spans="1:13" x14ac:dyDescent="0.2">
      <c r="A164" s="2" t="s">
        <v>158</v>
      </c>
      <c r="B164" s="2" t="s">
        <v>159</v>
      </c>
      <c r="C164" s="2" t="s">
        <v>161</v>
      </c>
      <c r="D164" s="6">
        <v>1434.17</v>
      </c>
      <c r="H164" s="6">
        <v>1434.17</v>
      </c>
      <c r="I164" s="8">
        <v>45155</v>
      </c>
      <c r="J164" s="10">
        <v>11</v>
      </c>
      <c r="K164" s="2" t="s">
        <v>16</v>
      </c>
      <c r="L164" s="2" t="s">
        <v>36</v>
      </c>
      <c r="M164" s="2" t="s">
        <v>59</v>
      </c>
    </row>
    <row r="165" spans="1:13" x14ac:dyDescent="0.2">
      <c r="A165" s="2" t="s">
        <v>158</v>
      </c>
      <c r="B165" s="2" t="s">
        <v>159</v>
      </c>
      <c r="C165" s="2" t="s">
        <v>162</v>
      </c>
      <c r="D165" s="6">
        <v>1244.95</v>
      </c>
      <c r="H165" s="6">
        <v>1244.95</v>
      </c>
      <c r="I165" s="8">
        <v>45162</v>
      </c>
      <c r="J165" s="10">
        <v>4</v>
      </c>
      <c r="K165" s="2" t="s">
        <v>16</v>
      </c>
      <c r="L165" s="2" t="s">
        <v>36</v>
      </c>
      <c r="M165" s="2" t="s">
        <v>59</v>
      </c>
    </row>
    <row r="166" spans="1:13" x14ac:dyDescent="0.2">
      <c r="A166" s="2" t="s">
        <v>158</v>
      </c>
      <c r="B166" s="2" t="s">
        <v>159</v>
      </c>
      <c r="C166" s="2" t="s">
        <v>163</v>
      </c>
      <c r="D166" s="6">
        <v>-29.83</v>
      </c>
      <c r="H166" s="6">
        <v>-29.83</v>
      </c>
      <c r="I166" s="8">
        <v>45162</v>
      </c>
      <c r="J166" s="10">
        <v>4</v>
      </c>
      <c r="K166" s="2" t="s">
        <v>16</v>
      </c>
      <c r="L166" s="2" t="s">
        <v>36</v>
      </c>
      <c r="M166" s="2" t="s">
        <v>59</v>
      </c>
    </row>
    <row r="167" spans="1:13" customFormat="1" ht="15" x14ac:dyDescent="0.25">
      <c r="D167" s="14"/>
      <c r="E167" s="14"/>
      <c r="F167" s="14"/>
      <c r="G167" s="14"/>
      <c r="H167" s="14"/>
    </row>
    <row r="168" spans="1:13" s="4" customFormat="1" x14ac:dyDescent="0.2">
      <c r="A168" s="3" t="s">
        <v>158</v>
      </c>
      <c r="B168" s="3" t="s">
        <v>159</v>
      </c>
      <c r="C168" s="3" t="s">
        <v>16</v>
      </c>
      <c r="D168" s="5">
        <f>SUBTOTAL(9, D163:D167)</f>
        <v>2819.8</v>
      </c>
      <c r="E168" s="5">
        <f>SUBTOTAL(9, E163:E167)</f>
        <v>0</v>
      </c>
      <c r="F168" s="5">
        <f>SUBTOTAL(9, F163:F167)</f>
        <v>0</v>
      </c>
      <c r="G168" s="5">
        <f>SUBTOTAL(9, G163:G167)</f>
        <v>0</v>
      </c>
      <c r="H168" s="5">
        <f>SUBTOTAL(9, H163:H167)</f>
        <v>2819.8</v>
      </c>
      <c r="I168" s="7"/>
      <c r="J168" s="9"/>
      <c r="K168" s="3" t="s">
        <v>16</v>
      </c>
      <c r="L168" s="3" t="s">
        <v>16</v>
      </c>
      <c r="M168" s="3" t="s">
        <v>59</v>
      </c>
    </row>
    <row r="169" spans="1:13" customFormat="1" ht="15" x14ac:dyDescent="0.25">
      <c r="D169" s="14"/>
      <c r="E169" s="14"/>
      <c r="F169" s="14"/>
      <c r="G169" s="14"/>
      <c r="H169" s="14"/>
    </row>
    <row r="170" spans="1:13" x14ac:dyDescent="0.2">
      <c r="A170" s="2" t="s">
        <v>164</v>
      </c>
      <c r="B170" s="2" t="s">
        <v>165</v>
      </c>
      <c r="C170" s="2" t="s">
        <v>166</v>
      </c>
      <c r="D170" s="6">
        <v>390.03</v>
      </c>
      <c r="H170" s="6">
        <v>390.03</v>
      </c>
      <c r="I170" s="8">
        <v>45166</v>
      </c>
      <c r="K170" s="2" t="s">
        <v>16</v>
      </c>
      <c r="L170" s="2" t="s">
        <v>36</v>
      </c>
      <c r="M170" s="2" t="s">
        <v>59</v>
      </c>
    </row>
    <row r="171" spans="1:13" customFormat="1" ht="15" x14ac:dyDescent="0.25">
      <c r="D171" s="14"/>
      <c r="E171" s="14"/>
      <c r="F171" s="14"/>
      <c r="G171" s="14"/>
      <c r="H171" s="14"/>
    </row>
    <row r="172" spans="1:13" s="4" customFormat="1" x14ac:dyDescent="0.2">
      <c r="A172" s="3" t="s">
        <v>164</v>
      </c>
      <c r="B172" s="3" t="s">
        <v>165</v>
      </c>
      <c r="C172" s="3" t="s">
        <v>16</v>
      </c>
      <c r="D172" s="5">
        <f>SUBTOTAL(9, D170:D171)</f>
        <v>390.03</v>
      </c>
      <c r="E172" s="5">
        <f>SUBTOTAL(9, E170:E171)</f>
        <v>0</v>
      </c>
      <c r="F172" s="5">
        <f>SUBTOTAL(9, F170:F171)</f>
        <v>0</v>
      </c>
      <c r="G172" s="5">
        <f>SUBTOTAL(9, G170:G171)</f>
        <v>0</v>
      </c>
      <c r="H172" s="5">
        <f>SUBTOTAL(9, H170:H171)</f>
        <v>390.03</v>
      </c>
      <c r="I172" s="7"/>
      <c r="J172" s="9"/>
      <c r="K172" s="3" t="s">
        <v>16</v>
      </c>
      <c r="L172" s="3" t="s">
        <v>16</v>
      </c>
      <c r="M172" s="3" t="s">
        <v>59</v>
      </c>
    </row>
    <row r="173" spans="1:13" customFormat="1" ht="15" x14ac:dyDescent="0.25">
      <c r="D173" s="14"/>
      <c r="E173" s="14"/>
      <c r="F173" s="14"/>
      <c r="G173" s="14"/>
      <c r="H173" s="14"/>
    </row>
    <row r="174" spans="1:13" x14ac:dyDescent="0.2">
      <c r="A174" s="2" t="s">
        <v>167</v>
      </c>
      <c r="B174" s="2" t="s">
        <v>168</v>
      </c>
      <c r="C174" s="2" t="s">
        <v>169</v>
      </c>
      <c r="D174" s="6">
        <v>2672.33</v>
      </c>
      <c r="H174" s="6">
        <v>2672.33</v>
      </c>
      <c r="I174" s="8">
        <v>45161</v>
      </c>
      <c r="J174" s="10">
        <v>5</v>
      </c>
      <c r="K174" s="2" t="s">
        <v>16</v>
      </c>
      <c r="L174" s="2" t="s">
        <v>36</v>
      </c>
      <c r="M174" s="2" t="s">
        <v>59</v>
      </c>
    </row>
    <row r="175" spans="1:13" customFormat="1" ht="15" x14ac:dyDescent="0.25">
      <c r="D175" s="14"/>
      <c r="E175" s="14"/>
      <c r="F175" s="14"/>
      <c r="G175" s="14"/>
      <c r="H175" s="14"/>
    </row>
    <row r="176" spans="1:13" s="4" customFormat="1" x14ac:dyDescent="0.2">
      <c r="A176" s="3" t="s">
        <v>167</v>
      </c>
      <c r="B176" s="3" t="s">
        <v>168</v>
      </c>
      <c r="C176" s="3" t="s">
        <v>16</v>
      </c>
      <c r="D176" s="5">
        <f>SUBTOTAL(9, D174:D175)</f>
        <v>2672.33</v>
      </c>
      <c r="E176" s="5">
        <f>SUBTOTAL(9, E174:E175)</f>
        <v>0</v>
      </c>
      <c r="F176" s="5">
        <f>SUBTOTAL(9, F174:F175)</f>
        <v>0</v>
      </c>
      <c r="G176" s="5">
        <f>SUBTOTAL(9, G174:G175)</f>
        <v>0</v>
      </c>
      <c r="H176" s="5">
        <f>SUBTOTAL(9, H174:H175)</f>
        <v>2672.33</v>
      </c>
      <c r="I176" s="7"/>
      <c r="J176" s="9"/>
      <c r="K176" s="3" t="s">
        <v>16</v>
      </c>
      <c r="L176" s="3" t="s">
        <v>16</v>
      </c>
      <c r="M176" s="3" t="s">
        <v>59</v>
      </c>
    </row>
    <row r="177" spans="1:13" customFormat="1" ht="15" x14ac:dyDescent="0.25">
      <c r="D177" s="14"/>
      <c r="E177" s="14"/>
      <c r="F177" s="14"/>
      <c r="G177" s="14"/>
      <c r="H177" s="14"/>
    </row>
    <row r="178" spans="1:13" x14ac:dyDescent="0.2">
      <c r="A178" s="2" t="s">
        <v>170</v>
      </c>
      <c r="B178" s="2" t="s">
        <v>171</v>
      </c>
      <c r="C178" s="2" t="s">
        <v>172</v>
      </c>
      <c r="G178" s="6">
        <v>558.19000000000005</v>
      </c>
      <c r="H178" s="6">
        <v>558.19000000000005</v>
      </c>
      <c r="I178" s="8">
        <v>45113</v>
      </c>
      <c r="J178" s="10">
        <v>53</v>
      </c>
      <c r="K178" s="2" t="s">
        <v>16</v>
      </c>
      <c r="L178" s="2" t="s">
        <v>17</v>
      </c>
      <c r="M178" s="2" t="s">
        <v>70</v>
      </c>
    </row>
    <row r="179" spans="1:13" customFormat="1" ht="15" x14ac:dyDescent="0.25">
      <c r="D179" s="14"/>
      <c r="E179" s="14"/>
      <c r="F179" s="14"/>
      <c r="G179" s="14"/>
      <c r="H179" s="14"/>
    </row>
    <row r="180" spans="1:13" s="4" customFormat="1" x14ac:dyDescent="0.2">
      <c r="A180" s="3" t="s">
        <v>170</v>
      </c>
      <c r="B180" s="3" t="s">
        <v>171</v>
      </c>
      <c r="C180" s="3" t="s">
        <v>16</v>
      </c>
      <c r="D180" s="5">
        <f>SUBTOTAL(9, D178:D179)</f>
        <v>0</v>
      </c>
      <c r="E180" s="5">
        <f>SUBTOTAL(9, E178:E179)</f>
        <v>0</v>
      </c>
      <c r="F180" s="5">
        <f>SUBTOTAL(9, F178:F179)</f>
        <v>0</v>
      </c>
      <c r="G180" s="5">
        <f>SUBTOTAL(9, G178:G179)</f>
        <v>558.19000000000005</v>
      </c>
      <c r="H180" s="5">
        <f>SUBTOTAL(9, H178:H179)</f>
        <v>558.19000000000005</v>
      </c>
      <c r="I180" s="7"/>
      <c r="J180" s="9"/>
      <c r="K180" s="3" t="s">
        <v>16</v>
      </c>
      <c r="L180" s="3" t="s">
        <v>16</v>
      </c>
      <c r="M180" s="3" t="s">
        <v>70</v>
      </c>
    </row>
    <row r="181" spans="1:13" customFormat="1" ht="15" x14ac:dyDescent="0.25">
      <c r="D181" s="14"/>
      <c r="E181" s="14"/>
      <c r="F181" s="14"/>
      <c r="G181" s="14"/>
      <c r="H181" s="14"/>
    </row>
    <row r="182" spans="1:13" x14ac:dyDescent="0.2">
      <c r="A182" s="2" t="s">
        <v>173</v>
      </c>
      <c r="B182" s="2" t="s">
        <v>174</v>
      </c>
      <c r="C182" s="2" t="s">
        <v>175</v>
      </c>
      <c r="E182" s="6">
        <v>2492.75</v>
      </c>
      <c r="H182" s="6">
        <v>2492.75</v>
      </c>
      <c r="I182" s="8">
        <v>45145</v>
      </c>
      <c r="J182" s="10">
        <v>21</v>
      </c>
      <c r="K182" s="2" t="s">
        <v>78</v>
      </c>
      <c r="L182" s="2" t="s">
        <v>17</v>
      </c>
      <c r="M182" s="2" t="s">
        <v>63</v>
      </c>
    </row>
    <row r="183" spans="1:13" customFormat="1" ht="15" x14ac:dyDescent="0.25">
      <c r="D183" s="14"/>
      <c r="E183" s="14"/>
      <c r="F183" s="14"/>
      <c r="G183" s="14"/>
      <c r="H183" s="14"/>
    </row>
    <row r="184" spans="1:13" s="4" customFormat="1" x14ac:dyDescent="0.2">
      <c r="A184" s="3" t="s">
        <v>173</v>
      </c>
      <c r="B184" s="3" t="s">
        <v>174</v>
      </c>
      <c r="C184" s="3" t="s">
        <v>16</v>
      </c>
      <c r="D184" s="5">
        <f>SUBTOTAL(9, D182:D183)</f>
        <v>0</v>
      </c>
      <c r="E184" s="5">
        <f>SUBTOTAL(9, E182:E183)</f>
        <v>2492.75</v>
      </c>
      <c r="F184" s="5">
        <f>SUBTOTAL(9, F182:F183)</f>
        <v>0</v>
      </c>
      <c r="G184" s="5">
        <f>SUBTOTAL(9, G182:G183)</f>
        <v>0</v>
      </c>
      <c r="H184" s="5">
        <f>SUBTOTAL(9, H182:H183)</f>
        <v>2492.75</v>
      </c>
      <c r="I184" s="7"/>
      <c r="J184" s="9"/>
      <c r="K184" s="3" t="s">
        <v>16</v>
      </c>
      <c r="L184" s="3" t="s">
        <v>16</v>
      </c>
      <c r="M184" s="3" t="s">
        <v>63</v>
      </c>
    </row>
    <row r="185" spans="1:13" customFormat="1" ht="15" x14ac:dyDescent="0.25">
      <c r="D185" s="14"/>
      <c r="E185" s="14"/>
      <c r="F185" s="14"/>
      <c r="G185" s="14"/>
      <c r="H185" s="14"/>
    </row>
    <row r="186" spans="1:13" x14ac:dyDescent="0.2">
      <c r="A186" s="2" t="s">
        <v>176</v>
      </c>
      <c r="B186" s="2" t="s">
        <v>177</v>
      </c>
      <c r="C186" s="2" t="s">
        <v>178</v>
      </c>
      <c r="D186" s="6">
        <v>11.9</v>
      </c>
      <c r="H186" s="6">
        <v>11.9</v>
      </c>
      <c r="I186" s="8">
        <v>45155</v>
      </c>
      <c r="J186" s="10">
        <v>11</v>
      </c>
      <c r="K186" s="2" t="s">
        <v>16</v>
      </c>
      <c r="L186" s="2" t="s">
        <v>36</v>
      </c>
      <c r="M186" s="2" t="s">
        <v>59</v>
      </c>
    </row>
    <row r="187" spans="1:13" customFormat="1" ht="15" x14ac:dyDescent="0.25">
      <c r="D187" s="14"/>
      <c r="E187" s="14"/>
      <c r="F187" s="14"/>
      <c r="G187" s="14"/>
      <c r="H187" s="14"/>
    </row>
    <row r="188" spans="1:13" s="4" customFormat="1" x14ac:dyDescent="0.2">
      <c r="A188" s="3" t="s">
        <v>176</v>
      </c>
      <c r="B188" s="3" t="s">
        <v>177</v>
      </c>
      <c r="C188" s="3" t="s">
        <v>16</v>
      </c>
      <c r="D188" s="5">
        <f>SUBTOTAL(9, D186:D187)</f>
        <v>11.9</v>
      </c>
      <c r="E188" s="5">
        <f>SUBTOTAL(9, E186:E187)</f>
        <v>0</v>
      </c>
      <c r="F188" s="5">
        <f>SUBTOTAL(9, F186:F187)</f>
        <v>0</v>
      </c>
      <c r="G188" s="5">
        <f>SUBTOTAL(9, G186:G187)</f>
        <v>0</v>
      </c>
      <c r="H188" s="5">
        <f>SUBTOTAL(9, H186:H187)</f>
        <v>11.9</v>
      </c>
      <c r="I188" s="7"/>
      <c r="J188" s="9"/>
      <c r="K188" s="3" t="s">
        <v>16</v>
      </c>
      <c r="L188" s="3" t="s">
        <v>16</v>
      </c>
      <c r="M188" s="3" t="s">
        <v>59</v>
      </c>
    </row>
    <row r="189" spans="1:13" customFormat="1" ht="15" x14ac:dyDescent="0.25">
      <c r="D189" s="14"/>
      <c r="E189" s="14"/>
      <c r="F189" s="14"/>
      <c r="G189" s="14"/>
      <c r="H189" s="14"/>
    </row>
    <row r="190" spans="1:13" x14ac:dyDescent="0.2">
      <c r="A190" s="2" t="s">
        <v>179</v>
      </c>
      <c r="B190" s="2" t="s">
        <v>180</v>
      </c>
      <c r="C190" s="2" t="s">
        <v>181</v>
      </c>
      <c r="D190" s="6">
        <v>-6.51</v>
      </c>
      <c r="H190" s="6">
        <v>-6.51</v>
      </c>
      <c r="I190" s="8">
        <v>45153</v>
      </c>
      <c r="J190" s="10">
        <v>13</v>
      </c>
      <c r="K190" s="2" t="s">
        <v>16</v>
      </c>
      <c r="L190" s="2" t="s">
        <v>36</v>
      </c>
      <c r="M190" s="2" t="s">
        <v>18</v>
      </c>
    </row>
    <row r="191" spans="1:13" x14ac:dyDescent="0.2">
      <c r="A191" s="2" t="s">
        <v>179</v>
      </c>
      <c r="B191" s="2" t="s">
        <v>180</v>
      </c>
      <c r="C191" s="2" t="s">
        <v>182</v>
      </c>
      <c r="D191" s="6">
        <v>287.8</v>
      </c>
      <c r="H191" s="6">
        <v>287.8</v>
      </c>
      <c r="I191" s="8">
        <v>45166</v>
      </c>
      <c r="K191" s="2" t="s">
        <v>16</v>
      </c>
      <c r="L191" s="2" t="s">
        <v>36</v>
      </c>
      <c r="M191" s="2" t="s">
        <v>18</v>
      </c>
    </row>
    <row r="192" spans="1:13" customFormat="1" ht="15" x14ac:dyDescent="0.25">
      <c r="D192" s="14"/>
      <c r="E192" s="14"/>
      <c r="F192" s="14"/>
      <c r="G192" s="14"/>
      <c r="H192" s="14"/>
    </row>
    <row r="193" spans="1:13" s="4" customFormat="1" x14ac:dyDescent="0.2">
      <c r="A193" s="3" t="s">
        <v>179</v>
      </c>
      <c r="B193" s="3" t="s">
        <v>180</v>
      </c>
      <c r="C193" s="3" t="s">
        <v>16</v>
      </c>
      <c r="D193" s="5">
        <f>SUBTOTAL(9, D190:D192)</f>
        <v>281.29000000000002</v>
      </c>
      <c r="E193" s="5">
        <f>SUBTOTAL(9, E190:E192)</f>
        <v>0</v>
      </c>
      <c r="F193" s="5">
        <f>SUBTOTAL(9, F190:F192)</f>
        <v>0</v>
      </c>
      <c r="G193" s="5">
        <f>SUBTOTAL(9, G190:G192)</f>
        <v>0</v>
      </c>
      <c r="H193" s="5">
        <f>SUBTOTAL(9, H190:H192)</f>
        <v>281.29000000000002</v>
      </c>
      <c r="I193" s="7"/>
      <c r="J193" s="9"/>
      <c r="K193" s="3" t="s">
        <v>16</v>
      </c>
      <c r="L193" s="3" t="s">
        <v>16</v>
      </c>
      <c r="M193" s="3" t="s">
        <v>18</v>
      </c>
    </row>
    <row r="194" spans="1:13" customFormat="1" ht="15" x14ac:dyDescent="0.25">
      <c r="D194" s="14"/>
      <c r="E194" s="14"/>
      <c r="F194" s="14"/>
      <c r="G194" s="14"/>
      <c r="H194" s="14"/>
    </row>
    <row r="195" spans="1:13" x14ac:dyDescent="0.2">
      <c r="A195" s="2" t="s">
        <v>183</v>
      </c>
      <c r="B195" s="2" t="s">
        <v>184</v>
      </c>
      <c r="C195" s="2" t="s">
        <v>185</v>
      </c>
      <c r="D195" s="6">
        <v>2276.85</v>
      </c>
      <c r="H195" s="6">
        <v>2276.85</v>
      </c>
      <c r="I195" s="8">
        <v>45161</v>
      </c>
      <c r="J195" s="10">
        <v>5</v>
      </c>
      <c r="K195" s="2" t="s">
        <v>16</v>
      </c>
      <c r="L195" s="2" t="s">
        <v>25</v>
      </c>
      <c r="M195" s="2" t="s">
        <v>186</v>
      </c>
    </row>
    <row r="196" spans="1:13" customFormat="1" ht="15" x14ac:dyDescent="0.25">
      <c r="D196" s="14"/>
      <c r="E196" s="14"/>
      <c r="F196" s="14"/>
      <c r="G196" s="14"/>
      <c r="H196" s="14"/>
    </row>
    <row r="197" spans="1:13" s="4" customFormat="1" x14ac:dyDescent="0.2">
      <c r="A197" s="3" t="s">
        <v>183</v>
      </c>
      <c r="B197" s="3" t="s">
        <v>184</v>
      </c>
      <c r="C197" s="3" t="s">
        <v>16</v>
      </c>
      <c r="D197" s="5">
        <f>SUBTOTAL(9, D195:D196)</f>
        <v>2276.85</v>
      </c>
      <c r="E197" s="5">
        <f>SUBTOTAL(9, E195:E196)</f>
        <v>0</v>
      </c>
      <c r="F197" s="5">
        <f>SUBTOTAL(9, F195:F196)</f>
        <v>0</v>
      </c>
      <c r="G197" s="5">
        <f>SUBTOTAL(9, G195:G196)</f>
        <v>0</v>
      </c>
      <c r="H197" s="5">
        <f>SUBTOTAL(9, H195:H196)</f>
        <v>2276.85</v>
      </c>
      <c r="I197" s="7"/>
      <c r="J197" s="9"/>
      <c r="K197" s="3" t="s">
        <v>16</v>
      </c>
      <c r="L197" s="3" t="s">
        <v>16</v>
      </c>
      <c r="M197" s="3" t="s">
        <v>186</v>
      </c>
    </row>
    <row r="198" spans="1:13" customFormat="1" ht="15" x14ac:dyDescent="0.25">
      <c r="D198" s="14"/>
      <c r="E198" s="14"/>
      <c r="F198" s="14"/>
      <c r="G198" s="14"/>
      <c r="H198" s="14"/>
    </row>
    <row r="199" spans="1:13" x14ac:dyDescent="0.2">
      <c r="A199" s="2" t="s">
        <v>187</v>
      </c>
      <c r="B199" s="2" t="s">
        <v>188</v>
      </c>
      <c r="C199" s="2" t="s">
        <v>189</v>
      </c>
      <c r="G199" s="6">
        <v>5204.8599999999997</v>
      </c>
      <c r="H199" s="6">
        <v>5204.8599999999997</v>
      </c>
      <c r="I199" s="8">
        <v>45117</v>
      </c>
      <c r="J199" s="10">
        <v>49</v>
      </c>
      <c r="K199" s="2" t="s">
        <v>16</v>
      </c>
      <c r="L199" s="2" t="s">
        <v>36</v>
      </c>
      <c r="M199" s="2" t="s">
        <v>98</v>
      </c>
    </row>
    <row r="200" spans="1:13" customFormat="1" ht="15" x14ac:dyDescent="0.25">
      <c r="D200" s="14"/>
      <c r="E200" s="14"/>
      <c r="F200" s="14"/>
      <c r="G200" s="14"/>
      <c r="H200" s="14"/>
    </row>
    <row r="201" spans="1:13" s="4" customFormat="1" x14ac:dyDescent="0.2">
      <c r="A201" s="3" t="s">
        <v>187</v>
      </c>
      <c r="B201" s="3" t="s">
        <v>188</v>
      </c>
      <c r="C201" s="3" t="s">
        <v>16</v>
      </c>
      <c r="D201" s="5">
        <f>SUBTOTAL(9, D199:D200)</f>
        <v>0</v>
      </c>
      <c r="E201" s="5">
        <f>SUBTOTAL(9, E199:E200)</f>
        <v>0</v>
      </c>
      <c r="F201" s="5">
        <f>SUBTOTAL(9, F199:F200)</f>
        <v>0</v>
      </c>
      <c r="G201" s="5">
        <f>SUBTOTAL(9, G199:G200)</f>
        <v>5204.8599999999997</v>
      </c>
      <c r="H201" s="5">
        <f>SUBTOTAL(9, H199:H200)</f>
        <v>5204.8599999999997</v>
      </c>
      <c r="I201" s="7"/>
      <c r="J201" s="9"/>
      <c r="K201" s="3" t="s">
        <v>16</v>
      </c>
      <c r="L201" s="3" t="s">
        <v>16</v>
      </c>
      <c r="M201" s="3" t="s">
        <v>98</v>
      </c>
    </row>
    <row r="202" spans="1:13" customFormat="1" ht="15" x14ac:dyDescent="0.25">
      <c r="D202" s="14"/>
      <c r="E202" s="14"/>
      <c r="F202" s="14"/>
      <c r="G202" s="14"/>
      <c r="H202" s="14"/>
    </row>
    <row r="203" spans="1:13" x14ac:dyDescent="0.2">
      <c r="A203" s="2" t="s">
        <v>190</v>
      </c>
      <c r="B203" s="2" t="s">
        <v>191</v>
      </c>
      <c r="C203" s="2" t="s">
        <v>192</v>
      </c>
      <c r="F203" s="6">
        <v>-3.58</v>
      </c>
      <c r="H203" s="6">
        <v>-3.58</v>
      </c>
      <c r="I203" s="8">
        <v>45135</v>
      </c>
      <c r="J203" s="10">
        <v>31</v>
      </c>
      <c r="K203" s="2" t="s">
        <v>16</v>
      </c>
      <c r="L203" s="2" t="s">
        <v>17</v>
      </c>
      <c r="M203" s="2" t="s">
        <v>18</v>
      </c>
    </row>
    <row r="204" spans="1:13" customFormat="1" ht="15" x14ac:dyDescent="0.25">
      <c r="D204" s="14"/>
      <c r="E204" s="14"/>
      <c r="F204" s="14"/>
      <c r="G204" s="14"/>
      <c r="H204" s="14"/>
    </row>
    <row r="205" spans="1:13" s="4" customFormat="1" x14ac:dyDescent="0.2">
      <c r="A205" s="3" t="s">
        <v>190</v>
      </c>
      <c r="B205" s="3" t="s">
        <v>191</v>
      </c>
      <c r="C205" s="3" t="s">
        <v>16</v>
      </c>
      <c r="D205" s="5">
        <f>SUBTOTAL(9, D203:D204)</f>
        <v>0</v>
      </c>
      <c r="E205" s="5">
        <f>SUBTOTAL(9, E203:E204)</f>
        <v>0</v>
      </c>
      <c r="F205" s="5">
        <f>SUBTOTAL(9, F203:F204)</f>
        <v>-3.58</v>
      </c>
      <c r="G205" s="5">
        <f>SUBTOTAL(9, G203:G204)</f>
        <v>0</v>
      </c>
      <c r="H205" s="5">
        <f>SUBTOTAL(9, H203:H204)</f>
        <v>-3.58</v>
      </c>
      <c r="I205" s="7"/>
      <c r="J205" s="9"/>
      <c r="K205" s="3" t="s">
        <v>16</v>
      </c>
      <c r="L205" s="3" t="s">
        <v>16</v>
      </c>
      <c r="M205" s="3" t="s">
        <v>18</v>
      </c>
    </row>
    <row r="206" spans="1:13" customFormat="1" ht="15" x14ac:dyDescent="0.25">
      <c r="D206" s="14"/>
      <c r="E206" s="14"/>
      <c r="F206" s="14"/>
      <c r="G206" s="14"/>
      <c r="H206" s="14"/>
    </row>
    <row r="207" spans="1:13" x14ac:dyDescent="0.2">
      <c r="A207" s="2" t="s">
        <v>193</v>
      </c>
      <c r="B207" s="2" t="s">
        <v>194</v>
      </c>
      <c r="C207" s="2" t="s">
        <v>195</v>
      </c>
      <c r="F207" s="6">
        <v>206.72</v>
      </c>
      <c r="H207" s="6">
        <v>206.72</v>
      </c>
      <c r="I207" s="8">
        <v>45133</v>
      </c>
      <c r="J207" s="10">
        <v>33</v>
      </c>
      <c r="K207" s="2" t="s">
        <v>16</v>
      </c>
      <c r="L207" s="2" t="s">
        <v>17</v>
      </c>
      <c r="M207" s="2" t="s">
        <v>32</v>
      </c>
    </row>
    <row r="208" spans="1:13" x14ac:dyDescent="0.2">
      <c r="A208" s="2" t="s">
        <v>193</v>
      </c>
      <c r="B208" s="2" t="s">
        <v>194</v>
      </c>
      <c r="C208" s="2" t="s">
        <v>196</v>
      </c>
      <c r="D208" s="6">
        <v>206.72</v>
      </c>
      <c r="H208" s="6">
        <v>206.72</v>
      </c>
      <c r="I208" s="8">
        <v>45153</v>
      </c>
      <c r="J208" s="10">
        <v>13</v>
      </c>
      <c r="K208" s="2" t="s">
        <v>16</v>
      </c>
      <c r="L208" s="2" t="s">
        <v>17</v>
      </c>
      <c r="M208" s="2" t="s">
        <v>32</v>
      </c>
    </row>
    <row r="209" spans="1:13" customFormat="1" ht="15" x14ac:dyDescent="0.25">
      <c r="D209" s="14"/>
      <c r="E209" s="14"/>
      <c r="F209" s="14"/>
      <c r="G209" s="14"/>
      <c r="H209" s="14"/>
    </row>
    <row r="210" spans="1:13" s="4" customFormat="1" x14ac:dyDescent="0.2">
      <c r="A210" s="3" t="s">
        <v>193</v>
      </c>
      <c r="B210" s="3" t="s">
        <v>194</v>
      </c>
      <c r="C210" s="3" t="s">
        <v>16</v>
      </c>
      <c r="D210" s="5">
        <f>SUBTOTAL(9, D207:D209)</f>
        <v>206.72</v>
      </c>
      <c r="E210" s="5">
        <f>SUBTOTAL(9, E207:E209)</f>
        <v>0</v>
      </c>
      <c r="F210" s="5">
        <f>SUBTOTAL(9, F207:F209)</f>
        <v>206.72</v>
      </c>
      <c r="G210" s="5">
        <f>SUBTOTAL(9, G207:G209)</f>
        <v>0</v>
      </c>
      <c r="H210" s="5">
        <f>SUBTOTAL(9, H207:H209)</f>
        <v>413.44</v>
      </c>
      <c r="I210" s="7"/>
      <c r="J210" s="9"/>
      <c r="K210" s="3" t="s">
        <v>16</v>
      </c>
      <c r="L210" s="3" t="s">
        <v>16</v>
      </c>
      <c r="M210" s="3" t="s">
        <v>32</v>
      </c>
    </row>
    <row r="211" spans="1:13" customFormat="1" ht="15" x14ac:dyDescent="0.25">
      <c r="D211" s="14"/>
      <c r="E211" s="14"/>
      <c r="F211" s="14"/>
      <c r="G211" s="14"/>
      <c r="H211" s="14"/>
    </row>
    <row r="212" spans="1:13" x14ac:dyDescent="0.2">
      <c r="A212" s="2" t="s">
        <v>197</v>
      </c>
      <c r="B212" s="2" t="s">
        <v>198</v>
      </c>
      <c r="C212" s="2" t="s">
        <v>199</v>
      </c>
      <c r="D212" s="6">
        <v>1517.47</v>
      </c>
      <c r="H212" s="6">
        <v>1517.47</v>
      </c>
      <c r="I212" s="8">
        <v>45155</v>
      </c>
      <c r="J212" s="10">
        <v>11</v>
      </c>
      <c r="K212" s="2" t="s">
        <v>16</v>
      </c>
      <c r="L212" s="2" t="s">
        <v>36</v>
      </c>
      <c r="M212" s="2" t="s">
        <v>59</v>
      </c>
    </row>
    <row r="213" spans="1:13" customFormat="1" ht="15" x14ac:dyDescent="0.25">
      <c r="D213" s="14"/>
      <c r="E213" s="14"/>
      <c r="F213" s="14"/>
      <c r="G213" s="14"/>
      <c r="H213" s="14"/>
    </row>
    <row r="214" spans="1:13" s="4" customFormat="1" x14ac:dyDescent="0.2">
      <c r="A214" s="3" t="s">
        <v>197</v>
      </c>
      <c r="B214" s="3" t="s">
        <v>198</v>
      </c>
      <c r="C214" s="3" t="s">
        <v>16</v>
      </c>
      <c r="D214" s="5">
        <f>SUBTOTAL(9, D212:D213)</f>
        <v>1517.47</v>
      </c>
      <c r="E214" s="5">
        <f>SUBTOTAL(9, E212:E213)</f>
        <v>0</v>
      </c>
      <c r="F214" s="5">
        <f>SUBTOTAL(9, F212:F213)</f>
        <v>0</v>
      </c>
      <c r="G214" s="5">
        <f>SUBTOTAL(9, G212:G213)</f>
        <v>0</v>
      </c>
      <c r="H214" s="5">
        <f>SUBTOTAL(9, H212:H213)</f>
        <v>1517.47</v>
      </c>
      <c r="I214" s="7"/>
      <c r="J214" s="9"/>
      <c r="K214" s="3" t="s">
        <v>16</v>
      </c>
      <c r="L214" s="3" t="s">
        <v>16</v>
      </c>
      <c r="M214" s="3" t="s">
        <v>59</v>
      </c>
    </row>
    <row r="215" spans="1:13" customFormat="1" ht="15" x14ac:dyDescent="0.25">
      <c r="D215" s="14"/>
      <c r="E215" s="14"/>
      <c r="F215" s="14"/>
      <c r="G215" s="14"/>
      <c r="H215" s="14"/>
    </row>
    <row r="216" spans="1:13" x14ac:dyDescent="0.2">
      <c r="A216" s="2" t="s">
        <v>200</v>
      </c>
      <c r="B216" s="2" t="s">
        <v>201</v>
      </c>
      <c r="C216" s="2" t="s">
        <v>202</v>
      </c>
      <c r="D216" s="6">
        <v>224.99</v>
      </c>
      <c r="H216" s="6">
        <v>224.99</v>
      </c>
      <c r="I216" s="8">
        <v>45155</v>
      </c>
      <c r="J216" s="10">
        <v>11</v>
      </c>
      <c r="K216" s="2" t="s">
        <v>16</v>
      </c>
      <c r="L216" s="2" t="s">
        <v>17</v>
      </c>
      <c r="M216" s="2" t="s">
        <v>70</v>
      </c>
    </row>
    <row r="217" spans="1:13" customFormat="1" ht="15" x14ac:dyDescent="0.25">
      <c r="D217" s="14"/>
      <c r="E217" s="14"/>
      <c r="F217" s="14"/>
      <c r="G217" s="14"/>
      <c r="H217" s="14"/>
    </row>
    <row r="218" spans="1:13" s="4" customFormat="1" x14ac:dyDescent="0.2">
      <c r="A218" s="3" t="s">
        <v>200</v>
      </c>
      <c r="B218" s="3" t="s">
        <v>201</v>
      </c>
      <c r="C218" s="3" t="s">
        <v>16</v>
      </c>
      <c r="D218" s="5">
        <f>SUBTOTAL(9, D216:D217)</f>
        <v>224.99</v>
      </c>
      <c r="E218" s="5">
        <f>SUBTOTAL(9, E216:E217)</f>
        <v>0</v>
      </c>
      <c r="F218" s="5">
        <f>SUBTOTAL(9, F216:F217)</f>
        <v>0</v>
      </c>
      <c r="G218" s="5">
        <f>SUBTOTAL(9, G216:G217)</f>
        <v>0</v>
      </c>
      <c r="H218" s="5">
        <f>SUBTOTAL(9, H216:H217)</f>
        <v>224.99</v>
      </c>
      <c r="I218" s="7"/>
      <c r="J218" s="9"/>
      <c r="K218" s="3" t="s">
        <v>16</v>
      </c>
      <c r="L218" s="3" t="s">
        <v>16</v>
      </c>
      <c r="M218" s="3" t="s">
        <v>70</v>
      </c>
    </row>
    <row r="219" spans="1:13" customFormat="1" ht="15" x14ac:dyDescent="0.25">
      <c r="D219" s="14"/>
      <c r="E219" s="14"/>
      <c r="F219" s="14"/>
      <c r="G219" s="14"/>
      <c r="H219" s="14"/>
    </row>
    <row r="220" spans="1:13" x14ac:dyDescent="0.2">
      <c r="A220" s="2" t="s">
        <v>203</v>
      </c>
      <c r="B220" s="2" t="s">
        <v>204</v>
      </c>
      <c r="C220" s="2" t="s">
        <v>205</v>
      </c>
      <c r="G220" s="6">
        <v>3064.17</v>
      </c>
      <c r="H220" s="6">
        <v>3064.17</v>
      </c>
      <c r="I220" s="8">
        <v>45043</v>
      </c>
      <c r="J220" s="10">
        <v>123</v>
      </c>
      <c r="K220" s="2" t="s">
        <v>16</v>
      </c>
      <c r="L220" s="2" t="s">
        <v>17</v>
      </c>
      <c r="M220" s="2" t="s">
        <v>70</v>
      </c>
    </row>
    <row r="221" spans="1:13" customFormat="1" ht="15" x14ac:dyDescent="0.25">
      <c r="D221" s="14"/>
      <c r="E221" s="14"/>
      <c r="F221" s="14"/>
      <c r="G221" s="14"/>
      <c r="H221" s="14"/>
    </row>
    <row r="222" spans="1:13" s="4" customFormat="1" x14ac:dyDescent="0.2">
      <c r="A222" s="3" t="s">
        <v>203</v>
      </c>
      <c r="B222" s="3" t="s">
        <v>204</v>
      </c>
      <c r="C222" s="3" t="s">
        <v>16</v>
      </c>
      <c r="D222" s="5">
        <f>SUBTOTAL(9, D220:D221)</f>
        <v>0</v>
      </c>
      <c r="E222" s="5">
        <f>SUBTOTAL(9, E220:E221)</f>
        <v>0</v>
      </c>
      <c r="F222" s="5">
        <f>SUBTOTAL(9, F220:F221)</f>
        <v>0</v>
      </c>
      <c r="G222" s="5">
        <f>SUBTOTAL(9, G220:G221)</f>
        <v>3064.17</v>
      </c>
      <c r="H222" s="5">
        <f>SUBTOTAL(9, H220:H221)</f>
        <v>3064.17</v>
      </c>
      <c r="I222" s="7"/>
      <c r="J222" s="9"/>
      <c r="K222" s="3" t="s">
        <v>16</v>
      </c>
      <c r="L222" s="3" t="s">
        <v>16</v>
      </c>
      <c r="M222" s="3" t="s">
        <v>70</v>
      </c>
    </row>
    <row r="223" spans="1:13" customFormat="1" ht="15" x14ac:dyDescent="0.25">
      <c r="D223" s="14"/>
      <c r="E223" s="14"/>
      <c r="F223" s="14"/>
      <c r="G223" s="14"/>
      <c r="H223" s="14"/>
    </row>
    <row r="224" spans="1:13" x14ac:dyDescent="0.2">
      <c r="A224" s="2" t="s">
        <v>206</v>
      </c>
      <c r="B224" s="2" t="s">
        <v>207</v>
      </c>
      <c r="C224" s="2" t="s">
        <v>208</v>
      </c>
      <c r="E224" s="6">
        <v>16.149999999999999</v>
      </c>
      <c r="H224" s="6">
        <v>16.149999999999999</v>
      </c>
      <c r="I224" s="8">
        <v>45147</v>
      </c>
      <c r="J224" s="10">
        <v>19</v>
      </c>
      <c r="K224" s="2" t="s">
        <v>16</v>
      </c>
      <c r="L224" s="2" t="s">
        <v>25</v>
      </c>
      <c r="M224" s="2" t="s">
        <v>26</v>
      </c>
    </row>
    <row r="225" spans="1:13" customFormat="1" ht="15" x14ac:dyDescent="0.25">
      <c r="D225" s="14"/>
      <c r="E225" s="14"/>
      <c r="F225" s="14"/>
      <c r="G225" s="14"/>
      <c r="H225" s="14"/>
    </row>
    <row r="226" spans="1:13" s="4" customFormat="1" x14ac:dyDescent="0.2">
      <c r="A226" s="3" t="s">
        <v>206</v>
      </c>
      <c r="B226" s="3" t="s">
        <v>207</v>
      </c>
      <c r="C226" s="3" t="s">
        <v>16</v>
      </c>
      <c r="D226" s="5">
        <f>SUBTOTAL(9, D224:D225)</f>
        <v>0</v>
      </c>
      <c r="E226" s="5">
        <f>SUBTOTAL(9, E224:E225)</f>
        <v>16.149999999999999</v>
      </c>
      <c r="F226" s="5">
        <f>SUBTOTAL(9, F224:F225)</f>
        <v>0</v>
      </c>
      <c r="G226" s="5">
        <f>SUBTOTAL(9, G224:G225)</f>
        <v>0</v>
      </c>
      <c r="H226" s="5">
        <f>SUBTOTAL(9, H224:H225)</f>
        <v>16.149999999999999</v>
      </c>
      <c r="I226" s="7"/>
      <c r="J226" s="9"/>
      <c r="K226" s="3" t="s">
        <v>16</v>
      </c>
      <c r="L226" s="3" t="s">
        <v>16</v>
      </c>
      <c r="M226" s="3" t="s">
        <v>26</v>
      </c>
    </row>
    <row r="227" spans="1:13" customFormat="1" ht="15" x14ac:dyDescent="0.25">
      <c r="D227" s="14"/>
      <c r="E227" s="14"/>
      <c r="F227" s="14"/>
      <c r="G227" s="14"/>
      <c r="H227" s="14"/>
    </row>
    <row r="228" spans="1:13" x14ac:dyDescent="0.2">
      <c r="A228" s="2" t="s">
        <v>209</v>
      </c>
      <c r="B228" s="2" t="s">
        <v>210</v>
      </c>
      <c r="C228" s="2" t="s">
        <v>211</v>
      </c>
      <c r="E228" s="6">
        <v>1252.33</v>
      </c>
      <c r="H228" s="6">
        <v>1252.33</v>
      </c>
      <c r="I228" s="8">
        <v>45147</v>
      </c>
      <c r="J228" s="10">
        <v>19</v>
      </c>
      <c r="K228" s="2" t="s">
        <v>16</v>
      </c>
      <c r="L228" s="2" t="s">
        <v>36</v>
      </c>
      <c r="M228" s="2" t="s">
        <v>26</v>
      </c>
    </row>
    <row r="229" spans="1:13" customFormat="1" ht="15" x14ac:dyDescent="0.25">
      <c r="D229" s="14"/>
      <c r="E229" s="14"/>
      <c r="F229" s="14"/>
      <c r="G229" s="14"/>
      <c r="H229" s="14"/>
    </row>
    <row r="230" spans="1:13" s="4" customFormat="1" x14ac:dyDescent="0.2">
      <c r="A230" s="3" t="s">
        <v>209</v>
      </c>
      <c r="B230" s="3" t="s">
        <v>210</v>
      </c>
      <c r="C230" s="3" t="s">
        <v>16</v>
      </c>
      <c r="D230" s="5">
        <f>SUBTOTAL(9, D228:D229)</f>
        <v>0</v>
      </c>
      <c r="E230" s="5">
        <f>SUBTOTAL(9, E228:E229)</f>
        <v>1252.33</v>
      </c>
      <c r="F230" s="5">
        <f>SUBTOTAL(9, F228:F229)</f>
        <v>0</v>
      </c>
      <c r="G230" s="5">
        <f>SUBTOTAL(9, G228:G229)</f>
        <v>0</v>
      </c>
      <c r="H230" s="5">
        <f>SUBTOTAL(9, H228:H229)</f>
        <v>1252.33</v>
      </c>
      <c r="I230" s="7"/>
      <c r="J230" s="9"/>
      <c r="K230" s="3" t="s">
        <v>16</v>
      </c>
      <c r="L230" s="3" t="s">
        <v>16</v>
      </c>
      <c r="M230" s="3" t="s">
        <v>26</v>
      </c>
    </row>
    <row r="231" spans="1:13" customFormat="1" ht="15" x14ac:dyDescent="0.25">
      <c r="D231" s="14"/>
      <c r="E231" s="14"/>
      <c r="F231" s="14"/>
      <c r="G231" s="14"/>
      <c r="H231" s="14"/>
    </row>
    <row r="232" spans="1:13" x14ac:dyDescent="0.2">
      <c r="A232" s="2" t="s">
        <v>212</v>
      </c>
      <c r="B232" s="2" t="s">
        <v>213</v>
      </c>
      <c r="C232" s="2" t="s">
        <v>214</v>
      </c>
      <c r="D232" s="6">
        <v>1356.63</v>
      </c>
      <c r="H232" s="6">
        <v>1356.63</v>
      </c>
      <c r="I232" s="8">
        <v>45162</v>
      </c>
      <c r="J232" s="10">
        <v>4</v>
      </c>
      <c r="K232" s="2" t="s">
        <v>16</v>
      </c>
      <c r="L232" s="2" t="s">
        <v>36</v>
      </c>
      <c r="M232" s="2" t="s">
        <v>41</v>
      </c>
    </row>
    <row r="233" spans="1:13" customFormat="1" ht="15" x14ac:dyDescent="0.25">
      <c r="D233" s="14"/>
      <c r="E233" s="14"/>
      <c r="F233" s="14"/>
      <c r="G233" s="14"/>
      <c r="H233" s="14"/>
    </row>
    <row r="234" spans="1:13" s="4" customFormat="1" x14ac:dyDescent="0.2">
      <c r="A234" s="3" t="s">
        <v>212</v>
      </c>
      <c r="B234" s="3" t="s">
        <v>213</v>
      </c>
      <c r="C234" s="3" t="s">
        <v>16</v>
      </c>
      <c r="D234" s="5">
        <f>SUBTOTAL(9, D232:D233)</f>
        <v>1356.63</v>
      </c>
      <c r="E234" s="5">
        <f>SUBTOTAL(9, E232:E233)</f>
        <v>0</v>
      </c>
      <c r="F234" s="5">
        <f>SUBTOTAL(9, F232:F233)</f>
        <v>0</v>
      </c>
      <c r="G234" s="5">
        <f>SUBTOTAL(9, G232:G233)</f>
        <v>0</v>
      </c>
      <c r="H234" s="5">
        <f>SUBTOTAL(9, H232:H233)</f>
        <v>1356.63</v>
      </c>
      <c r="I234" s="7"/>
      <c r="J234" s="9"/>
      <c r="K234" s="3" t="s">
        <v>16</v>
      </c>
      <c r="L234" s="3" t="s">
        <v>16</v>
      </c>
      <c r="M234" s="3" t="s">
        <v>41</v>
      </c>
    </row>
    <row r="235" spans="1:13" customFormat="1" ht="15" x14ac:dyDescent="0.25">
      <c r="D235" s="14"/>
      <c r="E235" s="14"/>
      <c r="F235" s="14"/>
      <c r="G235" s="14"/>
      <c r="H235" s="14"/>
    </row>
    <row r="236" spans="1:13" x14ac:dyDescent="0.2">
      <c r="A236" s="2" t="s">
        <v>215</v>
      </c>
      <c r="B236" s="2" t="s">
        <v>216</v>
      </c>
      <c r="C236" s="2" t="s">
        <v>217</v>
      </c>
      <c r="D236" s="6">
        <v>398.43</v>
      </c>
      <c r="H236" s="6">
        <v>398.43</v>
      </c>
      <c r="I236" s="8">
        <v>45166</v>
      </c>
      <c r="K236" s="2" t="s">
        <v>16</v>
      </c>
      <c r="L236" s="2" t="s">
        <v>36</v>
      </c>
      <c r="M236" s="2" t="s">
        <v>63</v>
      </c>
    </row>
    <row r="237" spans="1:13" customFormat="1" ht="15" x14ac:dyDescent="0.25">
      <c r="D237" s="14"/>
      <c r="E237" s="14"/>
      <c r="F237" s="14"/>
      <c r="G237" s="14"/>
      <c r="H237" s="14"/>
    </row>
    <row r="238" spans="1:13" s="4" customFormat="1" x14ac:dyDescent="0.2">
      <c r="A238" s="3" t="s">
        <v>215</v>
      </c>
      <c r="B238" s="3" t="s">
        <v>216</v>
      </c>
      <c r="C238" s="3" t="s">
        <v>16</v>
      </c>
      <c r="D238" s="5">
        <f>SUBTOTAL(9, D236:D237)</f>
        <v>398.43</v>
      </c>
      <c r="E238" s="5">
        <f>SUBTOTAL(9, E236:E237)</f>
        <v>0</v>
      </c>
      <c r="F238" s="5">
        <f>SUBTOTAL(9, F236:F237)</f>
        <v>0</v>
      </c>
      <c r="G238" s="5">
        <f>SUBTOTAL(9, G236:G237)</f>
        <v>0</v>
      </c>
      <c r="H238" s="5">
        <f>SUBTOTAL(9, H236:H237)</f>
        <v>398.43</v>
      </c>
      <c r="I238" s="7"/>
      <c r="J238" s="9"/>
      <c r="K238" s="3" t="s">
        <v>16</v>
      </c>
      <c r="L238" s="3" t="s">
        <v>16</v>
      </c>
      <c r="M238" s="3" t="s">
        <v>63</v>
      </c>
    </row>
    <row r="239" spans="1:13" customFormat="1" ht="15" x14ac:dyDescent="0.25">
      <c r="D239" s="14"/>
      <c r="E239" s="14"/>
      <c r="F239" s="14"/>
      <c r="G239" s="14"/>
      <c r="H239" s="14"/>
    </row>
    <row r="240" spans="1:13" x14ac:dyDescent="0.2">
      <c r="A240" s="2" t="s">
        <v>218</v>
      </c>
      <c r="B240" s="2" t="s">
        <v>219</v>
      </c>
      <c r="C240" s="2" t="s">
        <v>220</v>
      </c>
      <c r="D240" s="6">
        <v>-16.13</v>
      </c>
      <c r="H240" s="6">
        <v>-16.13</v>
      </c>
      <c r="I240" s="8">
        <v>45153</v>
      </c>
      <c r="J240" s="10">
        <v>13</v>
      </c>
      <c r="K240" s="2" t="s">
        <v>16</v>
      </c>
      <c r="L240" s="2" t="s">
        <v>36</v>
      </c>
      <c r="M240" s="2" t="s">
        <v>63</v>
      </c>
    </row>
    <row r="241" spans="1:13" x14ac:dyDescent="0.2">
      <c r="A241" s="2" t="s">
        <v>218</v>
      </c>
      <c r="B241" s="2" t="s">
        <v>219</v>
      </c>
      <c r="C241" s="2" t="s">
        <v>221</v>
      </c>
      <c r="D241" s="6">
        <v>543.96</v>
      </c>
      <c r="H241" s="6">
        <v>543.96</v>
      </c>
      <c r="I241" s="8">
        <v>45159</v>
      </c>
      <c r="J241" s="10">
        <v>7</v>
      </c>
      <c r="K241" s="2" t="s">
        <v>16</v>
      </c>
      <c r="L241" s="2" t="s">
        <v>36</v>
      </c>
      <c r="M241" s="2" t="s">
        <v>63</v>
      </c>
    </row>
    <row r="242" spans="1:13" customFormat="1" ht="15" x14ac:dyDescent="0.25">
      <c r="D242" s="14"/>
      <c r="E242" s="14"/>
      <c r="F242" s="14"/>
      <c r="G242" s="14"/>
      <c r="H242" s="14"/>
    </row>
    <row r="243" spans="1:13" s="4" customFormat="1" x14ac:dyDescent="0.2">
      <c r="A243" s="3" t="s">
        <v>218</v>
      </c>
      <c r="B243" s="3" t="s">
        <v>219</v>
      </c>
      <c r="C243" s="3" t="s">
        <v>16</v>
      </c>
      <c r="D243" s="5">
        <f>SUBTOTAL(9, D240:D242)</f>
        <v>527.83000000000004</v>
      </c>
      <c r="E243" s="5">
        <f>SUBTOTAL(9, E240:E242)</f>
        <v>0</v>
      </c>
      <c r="F243" s="5">
        <f>SUBTOTAL(9, F240:F242)</f>
        <v>0</v>
      </c>
      <c r="G243" s="5">
        <f>SUBTOTAL(9, G240:G242)</f>
        <v>0</v>
      </c>
      <c r="H243" s="5">
        <f>SUBTOTAL(9, H240:H242)</f>
        <v>527.83000000000004</v>
      </c>
      <c r="I243" s="7"/>
      <c r="J243" s="9"/>
      <c r="K243" s="3" t="s">
        <v>16</v>
      </c>
      <c r="L243" s="3" t="s">
        <v>16</v>
      </c>
      <c r="M243" s="3" t="s">
        <v>63</v>
      </c>
    </row>
    <row r="244" spans="1:13" customFormat="1" ht="15" x14ac:dyDescent="0.25">
      <c r="D244" s="14"/>
      <c r="E244" s="14"/>
      <c r="F244" s="14"/>
      <c r="G244" s="14"/>
      <c r="H244" s="14"/>
    </row>
    <row r="245" spans="1:13" x14ac:dyDescent="0.2">
      <c r="A245" s="2" t="s">
        <v>222</v>
      </c>
      <c r="B245" s="2" t="s">
        <v>223</v>
      </c>
      <c r="C245" s="2" t="s">
        <v>224</v>
      </c>
      <c r="E245" s="6">
        <v>393.57</v>
      </c>
      <c r="H245" s="6">
        <v>393.57</v>
      </c>
      <c r="I245" s="8">
        <v>45139</v>
      </c>
      <c r="J245" s="10">
        <v>27</v>
      </c>
      <c r="K245" s="2" t="s">
        <v>16</v>
      </c>
      <c r="L245" s="2" t="s">
        <v>36</v>
      </c>
      <c r="M245" s="2" t="s">
        <v>63</v>
      </c>
    </row>
    <row r="246" spans="1:13" x14ac:dyDescent="0.2">
      <c r="A246" s="2" t="s">
        <v>222</v>
      </c>
      <c r="B246" s="2" t="s">
        <v>223</v>
      </c>
      <c r="C246" s="2" t="s">
        <v>225</v>
      </c>
      <c r="D246" s="6">
        <v>533.12</v>
      </c>
      <c r="H246" s="6">
        <v>533.12</v>
      </c>
      <c r="I246" s="8">
        <v>45152</v>
      </c>
      <c r="J246" s="10">
        <v>14</v>
      </c>
      <c r="K246" s="2" t="s">
        <v>16</v>
      </c>
      <c r="L246" s="2" t="s">
        <v>36</v>
      </c>
      <c r="M246" s="2" t="s">
        <v>63</v>
      </c>
    </row>
    <row r="247" spans="1:13" customFormat="1" ht="15" x14ac:dyDescent="0.25">
      <c r="D247" s="14"/>
      <c r="E247" s="14"/>
      <c r="F247" s="14"/>
      <c r="G247" s="14"/>
      <c r="H247" s="14"/>
    </row>
    <row r="248" spans="1:13" s="4" customFormat="1" x14ac:dyDescent="0.2">
      <c r="A248" s="3" t="s">
        <v>222</v>
      </c>
      <c r="B248" s="3" t="s">
        <v>223</v>
      </c>
      <c r="C248" s="3" t="s">
        <v>16</v>
      </c>
      <c r="D248" s="5">
        <f>SUBTOTAL(9, D245:D247)</f>
        <v>533.12</v>
      </c>
      <c r="E248" s="5">
        <f>SUBTOTAL(9, E245:E247)</f>
        <v>393.57</v>
      </c>
      <c r="F248" s="5">
        <f>SUBTOTAL(9, F245:F247)</f>
        <v>0</v>
      </c>
      <c r="G248" s="5">
        <f>SUBTOTAL(9, G245:G247)</f>
        <v>0</v>
      </c>
      <c r="H248" s="5">
        <f>SUBTOTAL(9, H245:H247)</f>
        <v>926.69</v>
      </c>
      <c r="I248" s="7"/>
      <c r="J248" s="9"/>
      <c r="K248" s="3" t="s">
        <v>16</v>
      </c>
      <c r="L248" s="3" t="s">
        <v>16</v>
      </c>
      <c r="M248" s="3" t="s">
        <v>63</v>
      </c>
    </row>
    <row r="249" spans="1:13" customFormat="1" ht="15" x14ac:dyDescent="0.25">
      <c r="D249" s="14"/>
      <c r="E249" s="14"/>
      <c r="F249" s="14"/>
      <c r="G249" s="14"/>
      <c r="H249" s="14"/>
    </row>
    <row r="250" spans="1:13" x14ac:dyDescent="0.2">
      <c r="A250" s="2" t="s">
        <v>226</v>
      </c>
      <c r="B250" s="2" t="s">
        <v>227</v>
      </c>
      <c r="C250" s="2" t="s">
        <v>228</v>
      </c>
      <c r="D250" s="6">
        <v>411.4</v>
      </c>
      <c r="H250" s="6">
        <v>411.4</v>
      </c>
      <c r="I250" s="8">
        <v>45155</v>
      </c>
      <c r="J250" s="10">
        <v>11</v>
      </c>
      <c r="K250" s="2" t="s">
        <v>16</v>
      </c>
      <c r="L250" s="2" t="s">
        <v>17</v>
      </c>
      <c r="M250" s="2" t="s">
        <v>70</v>
      </c>
    </row>
    <row r="251" spans="1:13" x14ac:dyDescent="0.2">
      <c r="A251" s="2" t="s">
        <v>226</v>
      </c>
      <c r="B251" s="2" t="s">
        <v>227</v>
      </c>
      <c r="C251" s="2" t="s">
        <v>229</v>
      </c>
      <c r="D251" s="6">
        <v>169.52</v>
      </c>
      <c r="H251" s="6">
        <v>169.52</v>
      </c>
      <c r="I251" s="8">
        <v>45155</v>
      </c>
      <c r="J251" s="10">
        <v>11</v>
      </c>
      <c r="K251" s="2" t="s">
        <v>16</v>
      </c>
      <c r="L251" s="2" t="s">
        <v>17</v>
      </c>
      <c r="M251" s="2" t="s">
        <v>70</v>
      </c>
    </row>
    <row r="252" spans="1:13" x14ac:dyDescent="0.2">
      <c r="A252" s="2" t="s">
        <v>226</v>
      </c>
      <c r="B252" s="2" t="s">
        <v>227</v>
      </c>
      <c r="C252" s="2" t="s">
        <v>230</v>
      </c>
      <c r="D252" s="6">
        <v>241.88</v>
      </c>
      <c r="H252" s="6">
        <v>241.88</v>
      </c>
      <c r="I252" s="8">
        <v>45155</v>
      </c>
      <c r="J252" s="10">
        <v>11</v>
      </c>
      <c r="K252" s="2" t="s">
        <v>16</v>
      </c>
      <c r="L252" s="2" t="s">
        <v>17</v>
      </c>
      <c r="M252" s="2" t="s">
        <v>70</v>
      </c>
    </row>
    <row r="253" spans="1:13" customFormat="1" ht="15" x14ac:dyDescent="0.25">
      <c r="D253" s="14"/>
      <c r="E253" s="14"/>
      <c r="F253" s="14"/>
      <c r="G253" s="14"/>
      <c r="H253" s="14"/>
    </row>
    <row r="254" spans="1:13" s="4" customFormat="1" x14ac:dyDescent="0.2">
      <c r="A254" s="3" t="s">
        <v>226</v>
      </c>
      <c r="B254" s="3" t="s">
        <v>227</v>
      </c>
      <c r="C254" s="3" t="s">
        <v>16</v>
      </c>
      <c r="D254" s="5">
        <f>SUBTOTAL(9, D250:D253)</f>
        <v>822.8</v>
      </c>
      <c r="E254" s="5">
        <f>SUBTOTAL(9, E250:E253)</f>
        <v>0</v>
      </c>
      <c r="F254" s="5">
        <f>SUBTOTAL(9, F250:F253)</f>
        <v>0</v>
      </c>
      <c r="G254" s="5">
        <f>SUBTOTAL(9, G250:G253)</f>
        <v>0</v>
      </c>
      <c r="H254" s="5">
        <f>SUBTOTAL(9, H250:H253)</f>
        <v>822.8</v>
      </c>
      <c r="I254" s="7"/>
      <c r="J254" s="9"/>
      <c r="K254" s="3" t="s">
        <v>16</v>
      </c>
      <c r="L254" s="3" t="s">
        <v>16</v>
      </c>
      <c r="M254" s="3" t="s">
        <v>70</v>
      </c>
    </row>
    <row r="255" spans="1:13" customFormat="1" ht="15" x14ac:dyDescent="0.25">
      <c r="D255" s="14"/>
      <c r="E255" s="14"/>
      <c r="F255" s="14"/>
      <c r="G255" s="14"/>
      <c r="H255" s="14"/>
    </row>
    <row r="256" spans="1:13" x14ac:dyDescent="0.2">
      <c r="A256" s="2" t="s">
        <v>231</v>
      </c>
      <c r="B256" s="2" t="s">
        <v>232</v>
      </c>
      <c r="C256" s="2" t="s">
        <v>233</v>
      </c>
      <c r="E256" s="6">
        <v>628.46</v>
      </c>
      <c r="H256" s="6">
        <v>628.46</v>
      </c>
      <c r="I256" s="8">
        <v>45141</v>
      </c>
      <c r="J256" s="10">
        <v>25</v>
      </c>
      <c r="K256" s="2" t="s">
        <v>16</v>
      </c>
      <c r="L256" s="2" t="s">
        <v>17</v>
      </c>
      <c r="M256" s="2" t="s">
        <v>70</v>
      </c>
    </row>
    <row r="257" spans="1:13" customFormat="1" ht="15" x14ac:dyDescent="0.25">
      <c r="D257" s="14"/>
      <c r="E257" s="14"/>
      <c r="F257" s="14"/>
      <c r="G257" s="14"/>
      <c r="H257" s="14"/>
    </row>
    <row r="258" spans="1:13" s="4" customFormat="1" x14ac:dyDescent="0.2">
      <c r="A258" s="3" t="s">
        <v>231</v>
      </c>
      <c r="B258" s="3" t="s">
        <v>232</v>
      </c>
      <c r="C258" s="3" t="s">
        <v>16</v>
      </c>
      <c r="D258" s="5">
        <f>SUBTOTAL(9, D256:D257)</f>
        <v>0</v>
      </c>
      <c r="E258" s="5">
        <f>SUBTOTAL(9, E256:E257)</f>
        <v>628.46</v>
      </c>
      <c r="F258" s="5">
        <f>SUBTOTAL(9, F256:F257)</f>
        <v>0</v>
      </c>
      <c r="G258" s="5">
        <f>SUBTOTAL(9, G256:G257)</f>
        <v>0</v>
      </c>
      <c r="H258" s="5">
        <f>SUBTOTAL(9, H256:H257)</f>
        <v>628.46</v>
      </c>
      <c r="I258" s="7"/>
      <c r="J258" s="9"/>
      <c r="K258" s="3" t="s">
        <v>16</v>
      </c>
      <c r="L258" s="3" t="s">
        <v>16</v>
      </c>
      <c r="M258" s="3" t="s">
        <v>70</v>
      </c>
    </row>
    <row r="259" spans="1:13" customFormat="1" ht="15" x14ac:dyDescent="0.25">
      <c r="D259" s="14"/>
      <c r="E259" s="14"/>
      <c r="F259" s="14"/>
      <c r="G259" s="14"/>
      <c r="H259" s="14"/>
    </row>
    <row r="260" spans="1:13" x14ac:dyDescent="0.2">
      <c r="A260" s="2" t="s">
        <v>234</v>
      </c>
      <c r="B260" s="2" t="s">
        <v>235</v>
      </c>
      <c r="C260" s="2" t="s">
        <v>236</v>
      </c>
      <c r="E260" s="6">
        <v>86.06</v>
      </c>
      <c r="H260" s="6">
        <v>86.06</v>
      </c>
      <c r="I260" s="8">
        <v>45142</v>
      </c>
      <c r="J260" s="10">
        <v>24</v>
      </c>
      <c r="K260" s="2" t="s">
        <v>78</v>
      </c>
      <c r="L260" s="2" t="s">
        <v>25</v>
      </c>
      <c r="M260" s="2" t="s">
        <v>237</v>
      </c>
    </row>
    <row r="261" spans="1:13" x14ac:dyDescent="0.2">
      <c r="A261" s="2" t="s">
        <v>234</v>
      </c>
      <c r="B261" s="2" t="s">
        <v>235</v>
      </c>
      <c r="C261" s="2" t="s">
        <v>238</v>
      </c>
      <c r="E261" s="6">
        <v>66.58</v>
      </c>
      <c r="H261" s="6">
        <v>66.58</v>
      </c>
      <c r="I261" s="8">
        <v>45145</v>
      </c>
      <c r="J261" s="10">
        <v>21</v>
      </c>
      <c r="K261" s="2" t="s">
        <v>78</v>
      </c>
      <c r="L261" s="2" t="s">
        <v>25</v>
      </c>
      <c r="M261" s="2" t="s">
        <v>237</v>
      </c>
    </row>
    <row r="262" spans="1:13" x14ac:dyDescent="0.2">
      <c r="A262" s="2" t="s">
        <v>234</v>
      </c>
      <c r="B262" s="2" t="s">
        <v>235</v>
      </c>
      <c r="C262" s="2" t="s">
        <v>239</v>
      </c>
      <c r="E262" s="6">
        <v>4025.06</v>
      </c>
      <c r="H262" s="6">
        <v>4025.06</v>
      </c>
      <c r="I262" s="8">
        <v>45148</v>
      </c>
      <c r="J262" s="10">
        <v>18</v>
      </c>
      <c r="K262" s="2" t="s">
        <v>78</v>
      </c>
      <c r="L262" s="2" t="s">
        <v>25</v>
      </c>
      <c r="M262" s="2" t="s">
        <v>237</v>
      </c>
    </row>
    <row r="263" spans="1:13" x14ac:dyDescent="0.2">
      <c r="A263" s="2" t="s">
        <v>234</v>
      </c>
      <c r="B263" s="2" t="s">
        <v>235</v>
      </c>
      <c r="C263" s="2" t="s">
        <v>240</v>
      </c>
      <c r="E263" s="6">
        <v>-86.06</v>
      </c>
      <c r="H263" s="6">
        <v>-86.06</v>
      </c>
      <c r="I263" s="8">
        <v>45148</v>
      </c>
      <c r="J263" s="10">
        <v>18</v>
      </c>
      <c r="K263" s="2" t="s">
        <v>16</v>
      </c>
      <c r="L263" s="2" t="s">
        <v>25</v>
      </c>
      <c r="M263" s="2" t="s">
        <v>237</v>
      </c>
    </row>
    <row r="264" spans="1:13" x14ac:dyDescent="0.2">
      <c r="A264" s="2" t="s">
        <v>234</v>
      </c>
      <c r="B264" s="2" t="s">
        <v>235</v>
      </c>
      <c r="C264" s="2" t="s">
        <v>241</v>
      </c>
      <c r="E264" s="6">
        <v>-66.58</v>
      </c>
      <c r="H264" s="6">
        <v>-66.58</v>
      </c>
      <c r="I264" s="8">
        <v>45148</v>
      </c>
      <c r="J264" s="10">
        <v>18</v>
      </c>
      <c r="K264" s="2" t="s">
        <v>16</v>
      </c>
      <c r="L264" s="2" t="s">
        <v>25</v>
      </c>
      <c r="M264" s="2" t="s">
        <v>237</v>
      </c>
    </row>
    <row r="265" spans="1:13" x14ac:dyDescent="0.2">
      <c r="A265" s="2" t="s">
        <v>234</v>
      </c>
      <c r="B265" s="2" t="s">
        <v>235</v>
      </c>
      <c r="C265" s="2" t="s">
        <v>242</v>
      </c>
      <c r="D265" s="6">
        <v>4430.2299999999996</v>
      </c>
      <c r="H265" s="6">
        <v>4430.2299999999996</v>
      </c>
      <c r="I265" s="8">
        <v>45156</v>
      </c>
      <c r="J265" s="10">
        <v>10</v>
      </c>
      <c r="K265" s="2" t="s">
        <v>16</v>
      </c>
      <c r="L265" s="2" t="s">
        <v>25</v>
      </c>
      <c r="M265" s="2" t="s">
        <v>237</v>
      </c>
    </row>
    <row r="266" spans="1:13" x14ac:dyDescent="0.2">
      <c r="A266" s="2" t="s">
        <v>234</v>
      </c>
      <c r="B266" s="2" t="s">
        <v>235</v>
      </c>
      <c r="C266" s="2" t="s">
        <v>243</v>
      </c>
      <c r="D266" s="6">
        <v>7260.71</v>
      </c>
      <c r="H266" s="6">
        <v>7260.71</v>
      </c>
      <c r="I266" s="8">
        <v>45163</v>
      </c>
      <c r="J266" s="10">
        <v>3</v>
      </c>
      <c r="K266" s="2" t="s">
        <v>16</v>
      </c>
      <c r="L266" s="2" t="s">
        <v>25</v>
      </c>
      <c r="M266" s="2" t="s">
        <v>237</v>
      </c>
    </row>
    <row r="267" spans="1:13" x14ac:dyDescent="0.2">
      <c r="A267" s="2" t="s">
        <v>234</v>
      </c>
      <c r="B267" s="2" t="s">
        <v>235</v>
      </c>
      <c r="C267" s="2" t="s">
        <v>244</v>
      </c>
      <c r="D267" s="6">
        <v>2626.19</v>
      </c>
      <c r="H267" s="6">
        <v>2626.19</v>
      </c>
      <c r="I267" s="8">
        <v>45163</v>
      </c>
      <c r="J267" s="10">
        <v>3</v>
      </c>
      <c r="K267" s="2" t="s">
        <v>16</v>
      </c>
      <c r="L267" s="2" t="s">
        <v>25</v>
      </c>
      <c r="M267" s="2" t="s">
        <v>237</v>
      </c>
    </row>
    <row r="268" spans="1:13" customFormat="1" ht="15" x14ac:dyDescent="0.25">
      <c r="D268" s="14"/>
      <c r="E268" s="14"/>
      <c r="F268" s="14"/>
      <c r="G268" s="14"/>
      <c r="H268" s="14"/>
    </row>
    <row r="269" spans="1:13" s="4" customFormat="1" x14ac:dyDescent="0.2">
      <c r="A269" s="3" t="s">
        <v>234</v>
      </c>
      <c r="B269" s="3" t="s">
        <v>235</v>
      </c>
      <c r="C269" s="3" t="s">
        <v>16</v>
      </c>
      <c r="D269" s="5">
        <f>SUBTOTAL(9, D260:D268)</f>
        <v>14317.13</v>
      </c>
      <c r="E269" s="5">
        <f>SUBTOTAL(9, E260:E268)</f>
        <v>4025.06</v>
      </c>
      <c r="F269" s="5">
        <f>SUBTOTAL(9, F260:F268)</f>
        <v>0</v>
      </c>
      <c r="G269" s="5">
        <f>SUBTOTAL(9, G260:G268)</f>
        <v>0</v>
      </c>
      <c r="H269" s="5">
        <f>SUBTOTAL(9, H260:H268)</f>
        <v>18342.189999999999</v>
      </c>
      <c r="I269" s="7"/>
      <c r="J269" s="9"/>
      <c r="K269" s="3" t="s">
        <v>16</v>
      </c>
      <c r="L269" s="3" t="s">
        <v>16</v>
      </c>
      <c r="M269" s="3" t="s">
        <v>237</v>
      </c>
    </row>
    <row r="270" spans="1:13" customFormat="1" ht="15" x14ac:dyDescent="0.25">
      <c r="D270" s="14"/>
      <c r="E270" s="14"/>
      <c r="F270" s="14"/>
      <c r="G270" s="14"/>
      <c r="H270" s="14"/>
    </row>
    <row r="271" spans="1:13" x14ac:dyDescent="0.2">
      <c r="A271" s="2" t="s">
        <v>245</v>
      </c>
      <c r="B271" s="2" t="s">
        <v>246</v>
      </c>
      <c r="C271" s="2" t="s">
        <v>247</v>
      </c>
      <c r="G271" s="6">
        <v>253.99</v>
      </c>
      <c r="H271" s="6">
        <v>253.99</v>
      </c>
      <c r="I271" s="8">
        <v>45077</v>
      </c>
      <c r="J271" s="10">
        <v>89</v>
      </c>
      <c r="K271" s="2" t="s">
        <v>16</v>
      </c>
      <c r="L271" s="2" t="s">
        <v>17</v>
      </c>
      <c r="M271" s="2" t="s">
        <v>70</v>
      </c>
    </row>
    <row r="272" spans="1:13" customFormat="1" ht="15" x14ac:dyDescent="0.25">
      <c r="D272" s="14"/>
      <c r="E272" s="14"/>
      <c r="F272" s="14"/>
      <c r="G272" s="14"/>
      <c r="H272" s="14"/>
    </row>
    <row r="273" spans="1:13" s="4" customFormat="1" x14ac:dyDescent="0.2">
      <c r="A273" s="3" t="s">
        <v>245</v>
      </c>
      <c r="B273" s="3" t="s">
        <v>246</v>
      </c>
      <c r="C273" s="3" t="s">
        <v>16</v>
      </c>
      <c r="D273" s="5">
        <f>SUBTOTAL(9, D271:D272)</f>
        <v>0</v>
      </c>
      <c r="E273" s="5">
        <f>SUBTOTAL(9, E271:E272)</f>
        <v>0</v>
      </c>
      <c r="F273" s="5">
        <f>SUBTOTAL(9, F271:F272)</f>
        <v>0</v>
      </c>
      <c r="G273" s="5">
        <f>SUBTOTAL(9, G271:G272)</f>
        <v>253.99</v>
      </c>
      <c r="H273" s="5">
        <f>SUBTOTAL(9, H271:H272)</f>
        <v>253.99</v>
      </c>
      <c r="I273" s="7"/>
      <c r="J273" s="9"/>
      <c r="K273" s="3" t="s">
        <v>16</v>
      </c>
      <c r="L273" s="3" t="s">
        <v>16</v>
      </c>
      <c r="M273" s="3" t="s">
        <v>70</v>
      </c>
    </row>
    <row r="274" spans="1:13" customFormat="1" ht="15" x14ac:dyDescent="0.25">
      <c r="D274" s="14"/>
      <c r="E274" s="14"/>
      <c r="F274" s="14"/>
      <c r="G274" s="14"/>
      <c r="H274" s="14"/>
    </row>
    <row r="275" spans="1:13" x14ac:dyDescent="0.2">
      <c r="A275" s="2" t="s">
        <v>248</v>
      </c>
      <c r="B275" s="2" t="s">
        <v>249</v>
      </c>
      <c r="C275" s="2" t="s">
        <v>250</v>
      </c>
      <c r="G275" s="6">
        <v>220.52</v>
      </c>
      <c r="H275" s="6">
        <v>220.52</v>
      </c>
      <c r="I275" s="8">
        <v>45056</v>
      </c>
      <c r="J275" s="10">
        <v>110</v>
      </c>
      <c r="K275" s="2" t="s">
        <v>16</v>
      </c>
      <c r="L275" s="2" t="s">
        <v>17</v>
      </c>
      <c r="M275" s="2" t="s">
        <v>70</v>
      </c>
    </row>
    <row r="276" spans="1:13" x14ac:dyDescent="0.2">
      <c r="A276" s="2" t="s">
        <v>248</v>
      </c>
      <c r="B276" s="2" t="s">
        <v>249</v>
      </c>
      <c r="C276" s="2" t="s">
        <v>251</v>
      </c>
      <c r="G276" s="6">
        <v>147.01</v>
      </c>
      <c r="H276" s="6">
        <v>147.01</v>
      </c>
      <c r="I276" s="8">
        <v>45084</v>
      </c>
      <c r="J276" s="10">
        <v>82</v>
      </c>
      <c r="K276" s="2" t="s">
        <v>16</v>
      </c>
      <c r="L276" s="2" t="s">
        <v>17</v>
      </c>
      <c r="M276" s="2" t="s">
        <v>70</v>
      </c>
    </row>
    <row r="277" spans="1:13" customFormat="1" ht="15" x14ac:dyDescent="0.25">
      <c r="D277" s="14"/>
      <c r="E277" s="14"/>
      <c r="F277" s="14"/>
      <c r="G277" s="14"/>
      <c r="H277" s="14"/>
    </row>
    <row r="278" spans="1:13" s="4" customFormat="1" x14ac:dyDescent="0.2">
      <c r="A278" s="3" t="s">
        <v>248</v>
      </c>
      <c r="B278" s="3" t="s">
        <v>249</v>
      </c>
      <c r="C278" s="3" t="s">
        <v>16</v>
      </c>
      <c r="D278" s="5">
        <f>SUBTOTAL(9, D275:D277)</f>
        <v>0</v>
      </c>
      <c r="E278" s="5">
        <f>SUBTOTAL(9, E275:E277)</f>
        <v>0</v>
      </c>
      <c r="F278" s="5">
        <f>SUBTOTAL(9, F275:F277)</f>
        <v>0</v>
      </c>
      <c r="G278" s="5">
        <f>SUBTOTAL(9, G275:G277)</f>
        <v>367.53</v>
      </c>
      <c r="H278" s="5">
        <f>SUBTOTAL(9, H275:H277)</f>
        <v>367.53</v>
      </c>
      <c r="I278" s="7"/>
      <c r="J278" s="9"/>
      <c r="K278" s="3" t="s">
        <v>16</v>
      </c>
      <c r="L278" s="3" t="s">
        <v>16</v>
      </c>
      <c r="M278" s="3" t="s">
        <v>70</v>
      </c>
    </row>
    <row r="279" spans="1:13" customFormat="1" ht="15" x14ac:dyDescent="0.25">
      <c r="D279" s="14"/>
      <c r="E279" s="14"/>
      <c r="F279" s="14"/>
      <c r="G279" s="14"/>
      <c r="H279" s="14"/>
    </row>
    <row r="280" spans="1:13" x14ac:dyDescent="0.2">
      <c r="A280" s="2" t="s">
        <v>252</v>
      </c>
      <c r="B280" s="2" t="s">
        <v>253</v>
      </c>
      <c r="C280" s="2" t="s">
        <v>254</v>
      </c>
      <c r="E280" s="6">
        <v>7010.82</v>
      </c>
      <c r="H280" s="6">
        <v>7010.82</v>
      </c>
      <c r="I280" s="8">
        <v>45145</v>
      </c>
      <c r="J280" s="10">
        <v>21</v>
      </c>
      <c r="K280" s="2" t="s">
        <v>16</v>
      </c>
      <c r="L280" s="2" t="s">
        <v>17</v>
      </c>
      <c r="M280" s="2" t="s">
        <v>63</v>
      </c>
    </row>
    <row r="281" spans="1:13" x14ac:dyDescent="0.2">
      <c r="A281" s="2" t="s">
        <v>252</v>
      </c>
      <c r="B281" s="2" t="s">
        <v>253</v>
      </c>
      <c r="C281" s="2" t="s">
        <v>255</v>
      </c>
      <c r="E281" s="6">
        <v>196.29</v>
      </c>
      <c r="H281" s="6">
        <v>196.29</v>
      </c>
      <c r="I281" s="8">
        <v>45145</v>
      </c>
      <c r="J281" s="10">
        <v>21</v>
      </c>
      <c r="K281" s="2" t="s">
        <v>16</v>
      </c>
      <c r="L281" s="2" t="s">
        <v>17</v>
      </c>
      <c r="M281" s="2" t="s">
        <v>63</v>
      </c>
    </row>
    <row r="282" spans="1:13" x14ac:dyDescent="0.2">
      <c r="A282" s="2" t="s">
        <v>252</v>
      </c>
      <c r="B282" s="2" t="s">
        <v>253</v>
      </c>
      <c r="C282" s="2" t="s">
        <v>256</v>
      </c>
      <c r="E282" s="6">
        <v>472.29</v>
      </c>
      <c r="H282" s="6">
        <v>472.29</v>
      </c>
      <c r="I282" s="8">
        <v>45145</v>
      </c>
      <c r="J282" s="10">
        <v>21</v>
      </c>
      <c r="K282" s="2" t="s">
        <v>16</v>
      </c>
      <c r="L282" s="2" t="s">
        <v>17</v>
      </c>
      <c r="M282" s="2" t="s">
        <v>63</v>
      </c>
    </row>
    <row r="283" spans="1:13" x14ac:dyDescent="0.2">
      <c r="A283" s="2" t="s">
        <v>252</v>
      </c>
      <c r="B283" s="2" t="s">
        <v>253</v>
      </c>
      <c r="C283" s="2" t="s">
        <v>257</v>
      </c>
      <c r="D283" s="6">
        <v>7010.82</v>
      </c>
      <c r="H283" s="6">
        <v>7010.82</v>
      </c>
      <c r="I283" s="8">
        <v>45159</v>
      </c>
      <c r="J283" s="10">
        <v>7</v>
      </c>
      <c r="K283" s="2" t="s">
        <v>16</v>
      </c>
      <c r="L283" s="2" t="s">
        <v>17</v>
      </c>
      <c r="M283" s="2" t="s">
        <v>63</v>
      </c>
    </row>
    <row r="284" spans="1:13" x14ac:dyDescent="0.2">
      <c r="A284" s="2" t="s">
        <v>252</v>
      </c>
      <c r="B284" s="2" t="s">
        <v>253</v>
      </c>
      <c r="C284" s="2" t="s">
        <v>258</v>
      </c>
      <c r="D284" s="6">
        <v>147.22</v>
      </c>
      <c r="H284" s="6">
        <v>147.22</v>
      </c>
      <c r="I284" s="8">
        <v>45159</v>
      </c>
      <c r="J284" s="10">
        <v>7</v>
      </c>
      <c r="K284" s="2" t="s">
        <v>16</v>
      </c>
      <c r="L284" s="2" t="s">
        <v>17</v>
      </c>
      <c r="M284" s="2" t="s">
        <v>63</v>
      </c>
    </row>
    <row r="285" spans="1:13" x14ac:dyDescent="0.2">
      <c r="A285" s="2" t="s">
        <v>252</v>
      </c>
      <c r="B285" s="2" t="s">
        <v>253</v>
      </c>
      <c r="C285" s="2" t="s">
        <v>259</v>
      </c>
      <c r="D285" s="6">
        <v>472.29</v>
      </c>
      <c r="H285" s="6">
        <v>472.29</v>
      </c>
      <c r="I285" s="8">
        <v>45159</v>
      </c>
      <c r="J285" s="10">
        <v>7</v>
      </c>
      <c r="K285" s="2" t="s">
        <v>16</v>
      </c>
      <c r="L285" s="2" t="s">
        <v>17</v>
      </c>
      <c r="M285" s="2" t="s">
        <v>63</v>
      </c>
    </row>
    <row r="286" spans="1:13" customFormat="1" ht="15" x14ac:dyDescent="0.25">
      <c r="D286" s="14"/>
      <c r="E286" s="14"/>
      <c r="F286" s="14"/>
      <c r="G286" s="14"/>
      <c r="H286" s="14"/>
    </row>
    <row r="287" spans="1:13" s="4" customFormat="1" x14ac:dyDescent="0.2">
      <c r="A287" s="3" t="s">
        <v>252</v>
      </c>
      <c r="B287" s="3" t="s">
        <v>253</v>
      </c>
      <c r="C287" s="3" t="s">
        <v>16</v>
      </c>
      <c r="D287" s="5">
        <f>SUBTOTAL(9, D280:D286)</f>
        <v>7630.33</v>
      </c>
      <c r="E287" s="5">
        <f>SUBTOTAL(9, E280:E286)</f>
        <v>7679.4</v>
      </c>
      <c r="F287" s="5">
        <f>SUBTOTAL(9, F280:F286)</f>
        <v>0</v>
      </c>
      <c r="G287" s="5">
        <f>SUBTOTAL(9, G280:G286)</f>
        <v>0</v>
      </c>
      <c r="H287" s="5">
        <f>SUBTOTAL(9, H280:H286)</f>
        <v>15309.73</v>
      </c>
      <c r="I287" s="7"/>
      <c r="J287" s="9"/>
      <c r="K287" s="3" t="s">
        <v>16</v>
      </c>
      <c r="L287" s="3" t="s">
        <v>16</v>
      </c>
      <c r="M287" s="3" t="s">
        <v>63</v>
      </c>
    </row>
    <row r="288" spans="1:13" customFormat="1" ht="15" x14ac:dyDescent="0.25">
      <c r="D288" s="14"/>
      <c r="E288" s="14"/>
      <c r="F288" s="14"/>
      <c r="G288" s="14"/>
      <c r="H288" s="14"/>
    </row>
    <row r="289" spans="1:13" x14ac:dyDescent="0.2">
      <c r="A289" s="2" t="s">
        <v>260</v>
      </c>
      <c r="B289" s="2" t="s">
        <v>261</v>
      </c>
      <c r="C289" s="2" t="s">
        <v>262</v>
      </c>
      <c r="E289" s="6">
        <v>3251.81</v>
      </c>
      <c r="H289" s="6">
        <v>3251.81</v>
      </c>
      <c r="I289" s="8">
        <v>45147</v>
      </c>
      <c r="J289" s="10">
        <v>19</v>
      </c>
      <c r="K289" s="2" t="s">
        <v>16</v>
      </c>
      <c r="L289" s="2" t="s">
        <v>17</v>
      </c>
      <c r="M289" s="2" t="s">
        <v>70</v>
      </c>
    </row>
    <row r="290" spans="1:13" customFormat="1" ht="15" x14ac:dyDescent="0.25">
      <c r="D290" s="14"/>
      <c r="E290" s="14"/>
      <c r="F290" s="14"/>
      <c r="G290" s="14"/>
      <c r="H290" s="14"/>
    </row>
    <row r="291" spans="1:13" s="4" customFormat="1" x14ac:dyDescent="0.2">
      <c r="A291" s="3" t="s">
        <v>260</v>
      </c>
      <c r="B291" s="3" t="s">
        <v>261</v>
      </c>
      <c r="C291" s="3" t="s">
        <v>16</v>
      </c>
      <c r="D291" s="5">
        <f>SUBTOTAL(9, D289:D290)</f>
        <v>0</v>
      </c>
      <c r="E291" s="5">
        <f>SUBTOTAL(9, E289:E290)</f>
        <v>3251.81</v>
      </c>
      <c r="F291" s="5">
        <f>SUBTOTAL(9, F289:F290)</f>
        <v>0</v>
      </c>
      <c r="G291" s="5">
        <f>SUBTOTAL(9, G289:G290)</f>
        <v>0</v>
      </c>
      <c r="H291" s="5">
        <f>SUBTOTAL(9, H289:H290)</f>
        <v>3251.81</v>
      </c>
      <c r="I291" s="7"/>
      <c r="J291" s="9"/>
      <c r="K291" s="3" t="s">
        <v>16</v>
      </c>
      <c r="L291" s="3" t="s">
        <v>16</v>
      </c>
      <c r="M291" s="3" t="s">
        <v>70</v>
      </c>
    </row>
    <row r="292" spans="1:13" customFormat="1" ht="15" x14ac:dyDescent="0.25">
      <c r="D292" s="14"/>
      <c r="E292" s="14"/>
      <c r="F292" s="14"/>
      <c r="G292" s="14"/>
      <c r="H292" s="14"/>
    </row>
    <row r="293" spans="1:13" x14ac:dyDescent="0.2">
      <c r="A293" s="2" t="s">
        <v>263</v>
      </c>
      <c r="B293" s="2" t="s">
        <v>264</v>
      </c>
      <c r="C293" s="2" t="s">
        <v>265</v>
      </c>
      <c r="E293" s="6">
        <v>969.58</v>
      </c>
      <c r="H293" s="6">
        <v>969.58</v>
      </c>
      <c r="I293" s="8">
        <v>45141</v>
      </c>
      <c r="J293" s="10">
        <v>25</v>
      </c>
      <c r="K293" s="2" t="s">
        <v>16</v>
      </c>
      <c r="L293" s="2" t="s">
        <v>17</v>
      </c>
      <c r="M293" s="2" t="s">
        <v>70</v>
      </c>
    </row>
    <row r="294" spans="1:13" customFormat="1" ht="15" x14ac:dyDescent="0.25">
      <c r="D294" s="14"/>
      <c r="E294" s="14"/>
      <c r="F294" s="14"/>
      <c r="G294" s="14"/>
      <c r="H294" s="14"/>
    </row>
    <row r="295" spans="1:13" s="4" customFormat="1" x14ac:dyDescent="0.2">
      <c r="A295" s="3" t="s">
        <v>263</v>
      </c>
      <c r="B295" s="3" t="s">
        <v>264</v>
      </c>
      <c r="C295" s="3" t="s">
        <v>16</v>
      </c>
      <c r="D295" s="5">
        <f>SUBTOTAL(9, D293:D294)</f>
        <v>0</v>
      </c>
      <c r="E295" s="5">
        <f>SUBTOTAL(9, E293:E294)</f>
        <v>969.58</v>
      </c>
      <c r="F295" s="5">
        <f>SUBTOTAL(9, F293:F294)</f>
        <v>0</v>
      </c>
      <c r="G295" s="5">
        <f>SUBTOTAL(9, G293:G294)</f>
        <v>0</v>
      </c>
      <c r="H295" s="5">
        <f>SUBTOTAL(9, H293:H294)</f>
        <v>969.58</v>
      </c>
      <c r="I295" s="7"/>
      <c r="J295" s="9"/>
      <c r="K295" s="3" t="s">
        <v>16</v>
      </c>
      <c r="L295" s="3" t="s">
        <v>16</v>
      </c>
      <c r="M295" s="3" t="s">
        <v>70</v>
      </c>
    </row>
    <row r="296" spans="1:13" customFormat="1" ht="15" x14ac:dyDescent="0.25">
      <c r="D296" s="14"/>
      <c r="E296" s="14"/>
      <c r="F296" s="14"/>
      <c r="G296" s="14"/>
      <c r="H296" s="14"/>
    </row>
    <row r="297" spans="1:13" x14ac:dyDescent="0.2">
      <c r="A297" s="2" t="s">
        <v>266</v>
      </c>
      <c r="B297" s="2" t="s">
        <v>267</v>
      </c>
      <c r="C297" s="2" t="s">
        <v>268</v>
      </c>
      <c r="G297" s="6">
        <v>365.1</v>
      </c>
      <c r="H297" s="6">
        <v>365.1</v>
      </c>
      <c r="I297" s="8">
        <v>45103</v>
      </c>
      <c r="J297" s="10">
        <v>63</v>
      </c>
      <c r="K297" s="2" t="s">
        <v>16</v>
      </c>
      <c r="L297" s="2" t="s">
        <v>17</v>
      </c>
      <c r="M297" s="2" t="s">
        <v>18</v>
      </c>
    </row>
    <row r="298" spans="1:13" x14ac:dyDescent="0.2">
      <c r="A298" s="2" t="s">
        <v>266</v>
      </c>
      <c r="B298" s="2" t="s">
        <v>267</v>
      </c>
      <c r="C298" s="2" t="s">
        <v>269</v>
      </c>
      <c r="G298" s="6">
        <v>1825.49</v>
      </c>
      <c r="H298" s="6">
        <v>1825.49</v>
      </c>
      <c r="I298" s="8">
        <v>45110</v>
      </c>
      <c r="J298" s="10">
        <v>56</v>
      </c>
      <c r="K298" s="2" t="s">
        <v>16</v>
      </c>
      <c r="L298" s="2" t="s">
        <v>17</v>
      </c>
      <c r="M298" s="2" t="s">
        <v>18</v>
      </c>
    </row>
    <row r="299" spans="1:13" x14ac:dyDescent="0.2">
      <c r="A299" s="2" t="s">
        <v>266</v>
      </c>
      <c r="B299" s="2" t="s">
        <v>267</v>
      </c>
      <c r="C299" s="2" t="s">
        <v>270</v>
      </c>
      <c r="E299" s="6">
        <v>365.1</v>
      </c>
      <c r="H299" s="6">
        <v>365.1</v>
      </c>
      <c r="I299" s="8">
        <v>45142</v>
      </c>
      <c r="J299" s="10">
        <v>24</v>
      </c>
      <c r="K299" s="2" t="s">
        <v>16</v>
      </c>
      <c r="L299" s="2" t="s">
        <v>17</v>
      </c>
      <c r="M299" s="2" t="s">
        <v>18</v>
      </c>
    </row>
    <row r="300" spans="1:13" x14ac:dyDescent="0.2">
      <c r="A300" s="2" t="s">
        <v>266</v>
      </c>
      <c r="B300" s="2" t="s">
        <v>267</v>
      </c>
      <c r="C300" s="2" t="s">
        <v>271</v>
      </c>
      <c r="D300" s="6">
        <v>374.98</v>
      </c>
      <c r="H300" s="6">
        <v>374.98</v>
      </c>
      <c r="I300" s="8">
        <v>45166</v>
      </c>
      <c r="K300" s="2" t="s">
        <v>16</v>
      </c>
      <c r="L300" s="2" t="s">
        <v>17</v>
      </c>
      <c r="M300" s="2" t="s">
        <v>18</v>
      </c>
    </row>
    <row r="301" spans="1:13" customFormat="1" ht="15" x14ac:dyDescent="0.25">
      <c r="D301" s="14"/>
      <c r="E301" s="14"/>
      <c r="F301" s="14"/>
      <c r="G301" s="14"/>
      <c r="H301" s="14"/>
    </row>
    <row r="302" spans="1:13" s="4" customFormat="1" x14ac:dyDescent="0.2">
      <c r="A302" s="3" t="s">
        <v>266</v>
      </c>
      <c r="B302" s="3" t="s">
        <v>267</v>
      </c>
      <c r="C302" s="3" t="s">
        <v>16</v>
      </c>
      <c r="D302" s="5">
        <f>SUBTOTAL(9, D297:D301)</f>
        <v>374.98</v>
      </c>
      <c r="E302" s="5">
        <f>SUBTOTAL(9, E297:E301)</f>
        <v>365.1</v>
      </c>
      <c r="F302" s="5">
        <f>SUBTOTAL(9, F297:F301)</f>
        <v>0</v>
      </c>
      <c r="G302" s="5">
        <f>SUBTOTAL(9, G297:G301)</f>
        <v>2190.59</v>
      </c>
      <c r="H302" s="5">
        <f>SUBTOTAL(9, H297:H301)</f>
        <v>2930.67</v>
      </c>
      <c r="I302" s="7"/>
      <c r="J302" s="9"/>
      <c r="K302" s="3" t="s">
        <v>16</v>
      </c>
      <c r="L302" s="3" t="s">
        <v>16</v>
      </c>
      <c r="M302" s="3" t="s">
        <v>18</v>
      </c>
    </row>
    <row r="303" spans="1:13" customFormat="1" ht="15" x14ac:dyDescent="0.25">
      <c r="D303" s="14"/>
      <c r="E303" s="14"/>
      <c r="F303" s="14"/>
      <c r="G303" s="14"/>
      <c r="H303" s="14"/>
    </row>
    <row r="304" spans="1:13" x14ac:dyDescent="0.2">
      <c r="A304" s="2" t="s">
        <v>272</v>
      </c>
      <c r="B304" s="2" t="s">
        <v>273</v>
      </c>
      <c r="C304" s="2" t="s">
        <v>274</v>
      </c>
      <c r="G304" s="6">
        <v>950.34</v>
      </c>
      <c r="H304" s="6">
        <v>950.34</v>
      </c>
      <c r="I304" s="8">
        <v>45096</v>
      </c>
      <c r="J304" s="10">
        <v>70</v>
      </c>
      <c r="K304" s="2" t="s">
        <v>16</v>
      </c>
      <c r="L304" s="2" t="s">
        <v>17</v>
      </c>
      <c r="M304" s="2" t="s">
        <v>70</v>
      </c>
    </row>
    <row r="305" spans="1:13" customFormat="1" ht="15" x14ac:dyDescent="0.25">
      <c r="D305" s="14"/>
      <c r="E305" s="14"/>
      <c r="F305" s="14"/>
      <c r="G305" s="14"/>
      <c r="H305" s="14"/>
    </row>
    <row r="306" spans="1:13" s="4" customFormat="1" x14ac:dyDescent="0.2">
      <c r="A306" s="3" t="s">
        <v>272</v>
      </c>
      <c r="B306" s="3" t="s">
        <v>273</v>
      </c>
      <c r="C306" s="3" t="s">
        <v>16</v>
      </c>
      <c r="D306" s="5">
        <f>SUBTOTAL(9, D304:D305)</f>
        <v>0</v>
      </c>
      <c r="E306" s="5">
        <f>SUBTOTAL(9, E304:E305)</f>
        <v>0</v>
      </c>
      <c r="F306" s="5">
        <f>SUBTOTAL(9, F304:F305)</f>
        <v>0</v>
      </c>
      <c r="G306" s="5">
        <f>SUBTOTAL(9, G304:G305)</f>
        <v>950.34</v>
      </c>
      <c r="H306" s="5">
        <f>SUBTOTAL(9, H304:H305)</f>
        <v>950.34</v>
      </c>
      <c r="I306" s="7"/>
      <c r="J306" s="9"/>
      <c r="K306" s="3" t="s">
        <v>16</v>
      </c>
      <c r="L306" s="3" t="s">
        <v>16</v>
      </c>
      <c r="M306" s="3" t="s">
        <v>70</v>
      </c>
    </row>
    <row r="307" spans="1:13" customFormat="1" ht="15" x14ac:dyDescent="0.25">
      <c r="D307" s="14"/>
      <c r="E307" s="14"/>
      <c r="F307" s="14"/>
      <c r="G307" s="14"/>
      <c r="H307" s="14"/>
    </row>
    <row r="308" spans="1:13" x14ac:dyDescent="0.2">
      <c r="A308" s="2" t="s">
        <v>275</v>
      </c>
      <c r="B308" s="2" t="s">
        <v>276</v>
      </c>
      <c r="C308" s="2" t="s">
        <v>277</v>
      </c>
      <c r="E308" s="6">
        <v>0.5</v>
      </c>
      <c r="H308" s="6">
        <v>0.5</v>
      </c>
      <c r="I308" s="8">
        <v>45147</v>
      </c>
      <c r="J308" s="10">
        <v>19</v>
      </c>
      <c r="K308" s="2" t="s">
        <v>16</v>
      </c>
      <c r="L308" s="2" t="s">
        <v>278</v>
      </c>
      <c r="M308" s="2" t="s">
        <v>279</v>
      </c>
    </row>
    <row r="309" spans="1:13" x14ac:dyDescent="0.2">
      <c r="A309" s="2" t="s">
        <v>275</v>
      </c>
      <c r="B309" s="2" t="s">
        <v>276</v>
      </c>
      <c r="C309" s="2" t="s">
        <v>280</v>
      </c>
      <c r="D309" s="6">
        <v>0.28999999999999998</v>
      </c>
      <c r="H309" s="6">
        <v>0.28999999999999998</v>
      </c>
      <c r="I309" s="8">
        <v>45154</v>
      </c>
      <c r="J309" s="10">
        <v>12</v>
      </c>
      <c r="K309" s="2" t="s">
        <v>16</v>
      </c>
      <c r="L309" s="2" t="s">
        <v>278</v>
      </c>
      <c r="M309" s="2" t="s">
        <v>279</v>
      </c>
    </row>
    <row r="310" spans="1:13" x14ac:dyDescent="0.2">
      <c r="A310" s="2" t="s">
        <v>275</v>
      </c>
      <c r="B310" s="2" t="s">
        <v>276</v>
      </c>
      <c r="C310" s="2" t="s">
        <v>281</v>
      </c>
      <c r="D310" s="6">
        <v>1500.55</v>
      </c>
      <c r="H310" s="6">
        <v>1500.55</v>
      </c>
      <c r="I310" s="8">
        <v>45160</v>
      </c>
      <c r="J310" s="10">
        <v>6</v>
      </c>
      <c r="K310" s="2" t="s">
        <v>16</v>
      </c>
      <c r="L310" s="2" t="s">
        <v>278</v>
      </c>
      <c r="M310" s="2" t="s">
        <v>279</v>
      </c>
    </row>
    <row r="311" spans="1:13" customFormat="1" ht="15" x14ac:dyDescent="0.25">
      <c r="D311" s="14"/>
      <c r="E311" s="14"/>
      <c r="F311" s="14"/>
      <c r="G311" s="14"/>
      <c r="H311" s="14"/>
    </row>
    <row r="312" spans="1:13" s="4" customFormat="1" x14ac:dyDescent="0.2">
      <c r="A312" s="3" t="s">
        <v>275</v>
      </c>
      <c r="B312" s="3" t="s">
        <v>276</v>
      </c>
      <c r="C312" s="3" t="s">
        <v>16</v>
      </c>
      <c r="D312" s="5">
        <f>SUBTOTAL(9, D308:D311)</f>
        <v>1500.84</v>
      </c>
      <c r="E312" s="5">
        <f>SUBTOTAL(9, E308:E311)</f>
        <v>0.5</v>
      </c>
      <c r="F312" s="5">
        <f>SUBTOTAL(9, F308:F311)</f>
        <v>0</v>
      </c>
      <c r="G312" s="5">
        <f>SUBTOTAL(9, G308:G311)</f>
        <v>0</v>
      </c>
      <c r="H312" s="5">
        <f>SUBTOTAL(9, H308:H311)</f>
        <v>1501.34</v>
      </c>
      <c r="I312" s="7"/>
      <c r="J312" s="9"/>
      <c r="K312" s="3" t="s">
        <v>16</v>
      </c>
      <c r="L312" s="3" t="s">
        <v>16</v>
      </c>
      <c r="M312" s="3" t="s">
        <v>279</v>
      </c>
    </row>
    <row r="313" spans="1:13" customFormat="1" ht="15" x14ac:dyDescent="0.25">
      <c r="D313" s="14"/>
      <c r="E313" s="14"/>
      <c r="F313" s="14"/>
      <c r="G313" s="14"/>
      <c r="H313" s="14"/>
    </row>
    <row r="314" spans="1:13" x14ac:dyDescent="0.2">
      <c r="A314" s="2" t="s">
        <v>282</v>
      </c>
      <c r="B314" s="2" t="s">
        <v>283</v>
      </c>
      <c r="C314" s="2" t="s">
        <v>284</v>
      </c>
      <c r="G314" s="6">
        <v>1721.14</v>
      </c>
      <c r="H314" s="6">
        <v>1721.14</v>
      </c>
      <c r="I314" s="8">
        <v>45118</v>
      </c>
      <c r="J314" s="10">
        <v>48</v>
      </c>
      <c r="K314" s="2" t="s">
        <v>16</v>
      </c>
      <c r="L314" s="2" t="s">
        <v>278</v>
      </c>
      <c r="M314" s="2" t="s">
        <v>279</v>
      </c>
    </row>
    <row r="315" spans="1:13" x14ac:dyDescent="0.2">
      <c r="A315" s="2" t="s">
        <v>282</v>
      </c>
      <c r="B315" s="2" t="s">
        <v>283</v>
      </c>
      <c r="C315" s="2" t="s">
        <v>285</v>
      </c>
      <c r="G315" s="6">
        <v>6983.06</v>
      </c>
      <c r="H315" s="6">
        <v>6983.06</v>
      </c>
      <c r="I315" s="8">
        <v>45118</v>
      </c>
      <c r="J315" s="10">
        <v>48</v>
      </c>
      <c r="K315" s="2" t="s">
        <v>16</v>
      </c>
      <c r="L315" s="2" t="s">
        <v>278</v>
      </c>
      <c r="M315" s="2" t="s">
        <v>279</v>
      </c>
    </row>
    <row r="316" spans="1:13" x14ac:dyDescent="0.2">
      <c r="A316" s="2" t="s">
        <v>282</v>
      </c>
      <c r="B316" s="2" t="s">
        <v>283</v>
      </c>
      <c r="C316" s="2" t="s">
        <v>286</v>
      </c>
      <c r="F316" s="6">
        <v>3286.08</v>
      </c>
      <c r="H316" s="6">
        <v>3286.08</v>
      </c>
      <c r="I316" s="8">
        <v>45132</v>
      </c>
      <c r="J316" s="10">
        <v>34</v>
      </c>
      <c r="K316" s="2" t="s">
        <v>16</v>
      </c>
      <c r="L316" s="2" t="s">
        <v>278</v>
      </c>
      <c r="M316" s="2" t="s">
        <v>279</v>
      </c>
    </row>
    <row r="317" spans="1:13" x14ac:dyDescent="0.2">
      <c r="A317" s="2" t="s">
        <v>282</v>
      </c>
      <c r="B317" s="2" t="s">
        <v>283</v>
      </c>
      <c r="C317" s="2" t="s">
        <v>287</v>
      </c>
      <c r="F317" s="6">
        <v>5143.75</v>
      </c>
      <c r="H317" s="6">
        <v>5143.75</v>
      </c>
      <c r="I317" s="8">
        <v>45132</v>
      </c>
      <c r="J317" s="10">
        <v>34</v>
      </c>
      <c r="K317" s="2" t="s">
        <v>16</v>
      </c>
      <c r="L317" s="2" t="s">
        <v>278</v>
      </c>
      <c r="M317" s="2" t="s">
        <v>279</v>
      </c>
    </row>
    <row r="318" spans="1:13" x14ac:dyDescent="0.2">
      <c r="A318" s="2" t="s">
        <v>282</v>
      </c>
      <c r="B318" s="2" t="s">
        <v>283</v>
      </c>
      <c r="C318" s="2" t="s">
        <v>288</v>
      </c>
      <c r="E318" s="6">
        <v>3144.55</v>
      </c>
      <c r="H318" s="6">
        <v>3144.55</v>
      </c>
      <c r="I318" s="8">
        <v>45138</v>
      </c>
      <c r="J318" s="10">
        <v>28</v>
      </c>
      <c r="K318" s="2" t="s">
        <v>16</v>
      </c>
      <c r="L318" s="2" t="s">
        <v>278</v>
      </c>
      <c r="M318" s="2" t="s">
        <v>279</v>
      </c>
    </row>
    <row r="319" spans="1:13" x14ac:dyDescent="0.2">
      <c r="A319" s="2" t="s">
        <v>282</v>
      </c>
      <c r="B319" s="2" t="s">
        <v>283</v>
      </c>
      <c r="C319" s="2" t="s">
        <v>289</v>
      </c>
      <c r="E319" s="6">
        <v>4932.7299999999996</v>
      </c>
      <c r="H319" s="6">
        <v>4932.7299999999996</v>
      </c>
      <c r="I319" s="8">
        <v>45145</v>
      </c>
      <c r="J319" s="10">
        <v>21</v>
      </c>
      <c r="K319" s="2" t="s">
        <v>16</v>
      </c>
      <c r="L319" s="2" t="s">
        <v>278</v>
      </c>
      <c r="M319" s="2" t="s">
        <v>279</v>
      </c>
    </row>
    <row r="320" spans="1:13" x14ac:dyDescent="0.2">
      <c r="A320" s="2" t="s">
        <v>282</v>
      </c>
      <c r="B320" s="2" t="s">
        <v>283</v>
      </c>
      <c r="C320" s="2" t="s">
        <v>290</v>
      </c>
      <c r="E320" s="6">
        <v>2421.31</v>
      </c>
      <c r="H320" s="6">
        <v>2421.31</v>
      </c>
      <c r="I320" s="8">
        <v>45145</v>
      </c>
      <c r="J320" s="10">
        <v>21</v>
      </c>
      <c r="K320" s="2" t="s">
        <v>16</v>
      </c>
      <c r="L320" s="2" t="s">
        <v>278</v>
      </c>
      <c r="M320" s="2" t="s">
        <v>279</v>
      </c>
    </row>
    <row r="321" spans="1:13" x14ac:dyDescent="0.2">
      <c r="A321" s="2" t="s">
        <v>282</v>
      </c>
      <c r="B321" s="2" t="s">
        <v>283</v>
      </c>
      <c r="C321" s="2" t="s">
        <v>291</v>
      </c>
      <c r="D321" s="6">
        <v>1729.51</v>
      </c>
      <c r="H321" s="6">
        <v>1729.51</v>
      </c>
      <c r="I321" s="8">
        <v>45159</v>
      </c>
      <c r="J321" s="10">
        <v>7</v>
      </c>
      <c r="K321" s="2" t="s">
        <v>16</v>
      </c>
      <c r="L321" s="2" t="s">
        <v>278</v>
      </c>
      <c r="M321" s="2" t="s">
        <v>279</v>
      </c>
    </row>
    <row r="322" spans="1:13" x14ac:dyDescent="0.2">
      <c r="A322" s="2" t="s">
        <v>282</v>
      </c>
      <c r="B322" s="2" t="s">
        <v>283</v>
      </c>
      <c r="C322" s="2" t="s">
        <v>292</v>
      </c>
      <c r="D322" s="6">
        <v>10716.8</v>
      </c>
      <c r="H322" s="6">
        <v>10716.8</v>
      </c>
      <c r="I322" s="8">
        <v>45159</v>
      </c>
      <c r="J322" s="10">
        <v>7</v>
      </c>
      <c r="K322" s="2" t="s">
        <v>16</v>
      </c>
      <c r="L322" s="2" t="s">
        <v>278</v>
      </c>
      <c r="M322" s="2" t="s">
        <v>279</v>
      </c>
    </row>
    <row r="323" spans="1:13" customFormat="1" ht="15" x14ac:dyDescent="0.25">
      <c r="D323" s="14"/>
      <c r="E323" s="14"/>
      <c r="F323" s="14"/>
      <c r="G323" s="14"/>
      <c r="H323" s="14"/>
    </row>
    <row r="324" spans="1:13" s="4" customFormat="1" x14ac:dyDescent="0.2">
      <c r="A324" s="3" t="s">
        <v>282</v>
      </c>
      <c r="B324" s="3" t="s">
        <v>283</v>
      </c>
      <c r="C324" s="3" t="s">
        <v>16</v>
      </c>
      <c r="D324" s="5">
        <f>SUBTOTAL(9, D314:D323)</f>
        <v>12446.31</v>
      </c>
      <c r="E324" s="5">
        <f>SUBTOTAL(9, E314:E323)</f>
        <v>10498.59</v>
      </c>
      <c r="F324" s="5">
        <f>SUBTOTAL(9, F314:F323)</f>
        <v>8429.83</v>
      </c>
      <c r="G324" s="5">
        <f>SUBTOTAL(9, G314:G323)</f>
        <v>8704.2000000000007</v>
      </c>
      <c r="H324" s="5">
        <f>SUBTOTAL(9, H314:H323)</f>
        <v>40078.929999999993</v>
      </c>
      <c r="I324" s="7"/>
      <c r="J324" s="9"/>
      <c r="K324" s="3" t="s">
        <v>16</v>
      </c>
      <c r="L324" s="3" t="s">
        <v>16</v>
      </c>
      <c r="M324" s="3" t="s">
        <v>279</v>
      </c>
    </row>
    <row r="325" spans="1:13" customFormat="1" ht="15" x14ac:dyDescent="0.25">
      <c r="D325" s="14"/>
      <c r="E325" s="14"/>
      <c r="F325" s="14"/>
      <c r="G325" s="14"/>
      <c r="H325" s="14"/>
    </row>
    <row r="326" spans="1:13" x14ac:dyDescent="0.2">
      <c r="A326" s="2" t="s">
        <v>293</v>
      </c>
      <c r="B326" s="2" t="s">
        <v>294</v>
      </c>
      <c r="C326" s="2" t="s">
        <v>295</v>
      </c>
      <c r="D326" s="6">
        <v>203.73</v>
      </c>
      <c r="H326" s="6">
        <v>203.73</v>
      </c>
      <c r="I326" s="8">
        <v>45155</v>
      </c>
      <c r="J326" s="10">
        <v>11</v>
      </c>
      <c r="K326" s="2" t="s">
        <v>16</v>
      </c>
      <c r="L326" s="2" t="s">
        <v>36</v>
      </c>
      <c r="M326" s="2" t="s">
        <v>26</v>
      </c>
    </row>
    <row r="327" spans="1:13" x14ac:dyDescent="0.2">
      <c r="A327" s="2" t="s">
        <v>293</v>
      </c>
      <c r="B327" s="2" t="s">
        <v>294</v>
      </c>
      <c r="C327" s="2" t="s">
        <v>296</v>
      </c>
      <c r="D327" s="6">
        <v>337.85</v>
      </c>
      <c r="H327" s="6">
        <v>337.85</v>
      </c>
      <c r="I327" s="8">
        <v>45155</v>
      </c>
      <c r="J327" s="10">
        <v>11</v>
      </c>
      <c r="K327" s="2" t="s">
        <v>16</v>
      </c>
      <c r="L327" s="2" t="s">
        <v>36</v>
      </c>
      <c r="M327" s="2" t="s">
        <v>26</v>
      </c>
    </row>
    <row r="328" spans="1:13" x14ac:dyDescent="0.2">
      <c r="A328" s="2" t="s">
        <v>293</v>
      </c>
      <c r="B328" s="2" t="s">
        <v>294</v>
      </c>
      <c r="C328" s="2" t="s">
        <v>297</v>
      </c>
      <c r="D328" s="6">
        <v>270.27999999999997</v>
      </c>
      <c r="H328" s="6">
        <v>270.27999999999997</v>
      </c>
      <c r="I328" s="8">
        <v>45155</v>
      </c>
      <c r="J328" s="10">
        <v>11</v>
      </c>
      <c r="K328" s="2" t="s">
        <v>16</v>
      </c>
      <c r="L328" s="2" t="s">
        <v>36</v>
      </c>
      <c r="M328" s="2" t="s">
        <v>26</v>
      </c>
    </row>
    <row r="329" spans="1:13" x14ac:dyDescent="0.2">
      <c r="A329" s="2" t="s">
        <v>293</v>
      </c>
      <c r="B329" s="2" t="s">
        <v>294</v>
      </c>
      <c r="C329" s="2" t="s">
        <v>298</v>
      </c>
      <c r="D329" s="6">
        <v>1689.24</v>
      </c>
      <c r="H329" s="6">
        <v>1689.24</v>
      </c>
      <c r="I329" s="8">
        <v>45155</v>
      </c>
      <c r="J329" s="10">
        <v>11</v>
      </c>
      <c r="K329" s="2" t="s">
        <v>16</v>
      </c>
      <c r="L329" s="2" t="s">
        <v>36</v>
      </c>
      <c r="M329" s="2" t="s">
        <v>26</v>
      </c>
    </row>
    <row r="330" spans="1:13" x14ac:dyDescent="0.2">
      <c r="A330" s="2" t="s">
        <v>293</v>
      </c>
      <c r="B330" s="2" t="s">
        <v>294</v>
      </c>
      <c r="C330" s="2" t="s">
        <v>299</v>
      </c>
      <c r="D330" s="6">
        <v>1110.3599999999999</v>
      </c>
      <c r="H330" s="6">
        <v>1110.3599999999999</v>
      </c>
      <c r="I330" s="8">
        <v>45155</v>
      </c>
      <c r="J330" s="10">
        <v>11</v>
      </c>
      <c r="K330" s="2" t="s">
        <v>16</v>
      </c>
      <c r="L330" s="2" t="s">
        <v>36</v>
      </c>
      <c r="M330" s="2" t="s">
        <v>26</v>
      </c>
    </row>
    <row r="331" spans="1:13" customFormat="1" ht="15" x14ac:dyDescent="0.25">
      <c r="D331" s="14"/>
      <c r="E331" s="14"/>
      <c r="F331" s="14"/>
      <c r="G331" s="14"/>
      <c r="H331" s="14"/>
    </row>
    <row r="332" spans="1:13" s="4" customFormat="1" x14ac:dyDescent="0.2">
      <c r="A332" s="3" t="s">
        <v>293</v>
      </c>
      <c r="B332" s="3" t="s">
        <v>294</v>
      </c>
      <c r="C332" s="3" t="s">
        <v>16</v>
      </c>
      <c r="D332" s="5">
        <f>SUBTOTAL(9, D326:D331)</f>
        <v>3611.46</v>
      </c>
      <c r="E332" s="5">
        <f>SUBTOTAL(9, E326:E331)</f>
        <v>0</v>
      </c>
      <c r="F332" s="5">
        <f>SUBTOTAL(9, F326:F331)</f>
        <v>0</v>
      </c>
      <c r="G332" s="5">
        <f>SUBTOTAL(9, G326:G331)</f>
        <v>0</v>
      </c>
      <c r="H332" s="5">
        <f>SUBTOTAL(9, H326:H331)</f>
        <v>3611.46</v>
      </c>
      <c r="I332" s="7"/>
      <c r="J332" s="9"/>
      <c r="K332" s="3" t="s">
        <v>16</v>
      </c>
      <c r="L332" s="3" t="s">
        <v>16</v>
      </c>
      <c r="M332" s="3" t="s">
        <v>26</v>
      </c>
    </row>
    <row r="333" spans="1:13" customFormat="1" ht="15" x14ac:dyDescent="0.25">
      <c r="D333" s="14"/>
      <c r="E333" s="14"/>
      <c r="F333" s="14"/>
      <c r="G333" s="14"/>
      <c r="H333" s="14"/>
    </row>
    <row r="334" spans="1:13" x14ac:dyDescent="0.2">
      <c r="A334" s="2" t="s">
        <v>300</v>
      </c>
      <c r="B334" s="2" t="s">
        <v>294</v>
      </c>
      <c r="C334" s="2" t="s">
        <v>301</v>
      </c>
      <c r="G334" s="6">
        <v>138.86000000000001</v>
      </c>
      <c r="H334" s="6">
        <v>138.86000000000001</v>
      </c>
      <c r="I334" s="8">
        <v>45112</v>
      </c>
      <c r="J334" s="10">
        <v>54</v>
      </c>
      <c r="K334" s="2" t="s">
        <v>16</v>
      </c>
      <c r="L334" s="2" t="s">
        <v>36</v>
      </c>
      <c r="M334" s="2" t="s">
        <v>18</v>
      </c>
    </row>
    <row r="335" spans="1:13" customFormat="1" ht="15" x14ac:dyDescent="0.25">
      <c r="D335" s="14"/>
      <c r="E335" s="14"/>
      <c r="F335" s="14"/>
      <c r="G335" s="14"/>
      <c r="H335" s="14"/>
    </row>
    <row r="336" spans="1:13" s="4" customFormat="1" x14ac:dyDescent="0.2">
      <c r="A336" s="3" t="s">
        <v>300</v>
      </c>
      <c r="B336" s="3" t="s">
        <v>294</v>
      </c>
      <c r="C336" s="3" t="s">
        <v>16</v>
      </c>
      <c r="D336" s="5">
        <f>SUBTOTAL(9, D334:D335)</f>
        <v>0</v>
      </c>
      <c r="E336" s="5">
        <f>SUBTOTAL(9, E334:E335)</f>
        <v>0</v>
      </c>
      <c r="F336" s="5">
        <f>SUBTOTAL(9, F334:F335)</f>
        <v>0</v>
      </c>
      <c r="G336" s="5">
        <f>SUBTOTAL(9, G334:G335)</f>
        <v>138.86000000000001</v>
      </c>
      <c r="H336" s="5">
        <f>SUBTOTAL(9, H334:H335)</f>
        <v>138.86000000000001</v>
      </c>
      <c r="I336" s="7"/>
      <c r="J336" s="9"/>
      <c r="K336" s="3" t="s">
        <v>16</v>
      </c>
      <c r="L336" s="3" t="s">
        <v>16</v>
      </c>
      <c r="M336" s="3" t="s">
        <v>18</v>
      </c>
    </row>
    <row r="337" spans="1:13" customFormat="1" ht="15" x14ac:dyDescent="0.25">
      <c r="D337" s="14"/>
      <c r="E337" s="14"/>
      <c r="F337" s="14"/>
      <c r="G337" s="14"/>
      <c r="H337" s="14"/>
    </row>
    <row r="338" spans="1:13" x14ac:dyDescent="0.2">
      <c r="A338" s="2" t="s">
        <v>302</v>
      </c>
      <c r="B338" s="2" t="s">
        <v>303</v>
      </c>
      <c r="C338" s="2" t="s">
        <v>304</v>
      </c>
      <c r="D338" s="6">
        <v>216</v>
      </c>
      <c r="H338" s="6">
        <v>216</v>
      </c>
      <c r="I338" s="8">
        <v>45166</v>
      </c>
      <c r="K338" s="2" t="s">
        <v>16</v>
      </c>
      <c r="L338" s="2" t="s">
        <v>36</v>
      </c>
      <c r="M338" s="2" t="s">
        <v>63</v>
      </c>
    </row>
    <row r="339" spans="1:13" customFormat="1" ht="15" x14ac:dyDescent="0.25">
      <c r="D339" s="14"/>
      <c r="E339" s="14"/>
      <c r="F339" s="14"/>
      <c r="G339" s="14"/>
      <c r="H339" s="14"/>
    </row>
    <row r="340" spans="1:13" s="4" customFormat="1" x14ac:dyDescent="0.2">
      <c r="A340" s="3" t="s">
        <v>302</v>
      </c>
      <c r="B340" s="3" t="s">
        <v>303</v>
      </c>
      <c r="C340" s="3" t="s">
        <v>16</v>
      </c>
      <c r="D340" s="5">
        <f>SUBTOTAL(9, D338:D339)</f>
        <v>216</v>
      </c>
      <c r="E340" s="5">
        <f>SUBTOTAL(9, E338:E339)</f>
        <v>0</v>
      </c>
      <c r="F340" s="5">
        <f>SUBTOTAL(9, F338:F339)</f>
        <v>0</v>
      </c>
      <c r="G340" s="5">
        <f>SUBTOTAL(9, G338:G339)</f>
        <v>0</v>
      </c>
      <c r="H340" s="5">
        <f>SUBTOTAL(9, H338:H339)</f>
        <v>216</v>
      </c>
      <c r="I340" s="7"/>
      <c r="J340" s="9"/>
      <c r="K340" s="3" t="s">
        <v>16</v>
      </c>
      <c r="L340" s="3" t="s">
        <v>16</v>
      </c>
      <c r="M340" s="3" t="s">
        <v>63</v>
      </c>
    </row>
    <row r="341" spans="1:13" customFormat="1" ht="15" x14ac:dyDescent="0.25">
      <c r="D341" s="14"/>
      <c r="E341" s="14"/>
      <c r="F341" s="14"/>
      <c r="G341" s="14"/>
      <c r="H341" s="14"/>
    </row>
    <row r="342" spans="1:13" x14ac:dyDescent="0.2">
      <c r="A342" s="2" t="s">
        <v>305</v>
      </c>
      <c r="B342" s="2" t="s">
        <v>306</v>
      </c>
      <c r="C342" s="2" t="s">
        <v>307</v>
      </c>
      <c r="D342" s="6">
        <v>3201.14</v>
      </c>
      <c r="H342" s="6">
        <v>3201.14</v>
      </c>
      <c r="I342" s="8">
        <v>45161</v>
      </c>
      <c r="J342" s="10">
        <v>5</v>
      </c>
      <c r="K342" s="2" t="s">
        <v>16</v>
      </c>
      <c r="L342" s="2" t="s">
        <v>25</v>
      </c>
      <c r="M342" s="2" t="s">
        <v>59</v>
      </c>
    </row>
    <row r="343" spans="1:13" x14ac:dyDescent="0.2">
      <c r="A343" s="2" t="s">
        <v>305</v>
      </c>
      <c r="B343" s="2" t="s">
        <v>306</v>
      </c>
      <c r="C343" s="2" t="s">
        <v>308</v>
      </c>
      <c r="D343" s="6">
        <v>-51.64</v>
      </c>
      <c r="H343" s="6">
        <v>-51.64</v>
      </c>
      <c r="I343" s="8">
        <v>45162</v>
      </c>
      <c r="J343" s="10">
        <v>4</v>
      </c>
      <c r="K343" s="2" t="s">
        <v>16</v>
      </c>
      <c r="L343" s="2" t="s">
        <v>25</v>
      </c>
      <c r="M343" s="2" t="s">
        <v>59</v>
      </c>
    </row>
    <row r="344" spans="1:13" customFormat="1" ht="15" x14ac:dyDescent="0.25">
      <c r="D344" s="14"/>
      <c r="E344" s="14"/>
      <c r="F344" s="14"/>
      <c r="G344" s="14"/>
      <c r="H344" s="14"/>
    </row>
    <row r="345" spans="1:13" s="4" customFormat="1" x14ac:dyDescent="0.2">
      <c r="A345" s="3" t="s">
        <v>305</v>
      </c>
      <c r="B345" s="3" t="s">
        <v>306</v>
      </c>
      <c r="C345" s="3" t="s">
        <v>16</v>
      </c>
      <c r="D345" s="5">
        <f>SUBTOTAL(9, D342:D344)</f>
        <v>3149.5</v>
      </c>
      <c r="E345" s="5">
        <f>SUBTOTAL(9, E342:E344)</f>
        <v>0</v>
      </c>
      <c r="F345" s="5">
        <f>SUBTOTAL(9, F342:F344)</f>
        <v>0</v>
      </c>
      <c r="G345" s="5">
        <f>SUBTOTAL(9, G342:G344)</f>
        <v>0</v>
      </c>
      <c r="H345" s="5">
        <f>SUBTOTAL(9, H342:H344)</f>
        <v>3149.5</v>
      </c>
      <c r="I345" s="7"/>
      <c r="J345" s="9"/>
      <c r="K345" s="3" t="s">
        <v>16</v>
      </c>
      <c r="L345" s="3" t="s">
        <v>16</v>
      </c>
      <c r="M345" s="3" t="s">
        <v>59</v>
      </c>
    </row>
    <row r="346" spans="1:13" customFormat="1" ht="15" x14ac:dyDescent="0.25">
      <c r="D346" s="14"/>
      <c r="E346" s="14"/>
      <c r="F346" s="14"/>
      <c r="G346" s="14"/>
      <c r="H346" s="14"/>
    </row>
    <row r="347" spans="1:13" x14ac:dyDescent="0.2">
      <c r="A347" s="2" t="s">
        <v>309</v>
      </c>
      <c r="B347" s="2" t="s">
        <v>310</v>
      </c>
      <c r="C347" s="2" t="s">
        <v>311</v>
      </c>
      <c r="G347" s="6">
        <v>1835.79</v>
      </c>
      <c r="H347" s="6">
        <v>1835.79</v>
      </c>
      <c r="I347" s="8">
        <v>45084</v>
      </c>
      <c r="J347" s="10">
        <v>82</v>
      </c>
      <c r="K347" s="2" t="s">
        <v>16</v>
      </c>
      <c r="L347" s="2" t="s">
        <v>17</v>
      </c>
      <c r="M347" s="2" t="s">
        <v>70</v>
      </c>
    </row>
    <row r="348" spans="1:13" customFormat="1" ht="15" x14ac:dyDescent="0.25">
      <c r="D348" s="14"/>
      <c r="E348" s="14"/>
      <c r="F348" s="14"/>
      <c r="G348" s="14"/>
      <c r="H348" s="14"/>
    </row>
    <row r="349" spans="1:13" s="4" customFormat="1" x14ac:dyDescent="0.2">
      <c r="A349" s="3" t="s">
        <v>309</v>
      </c>
      <c r="B349" s="3" t="s">
        <v>310</v>
      </c>
      <c r="C349" s="3" t="s">
        <v>16</v>
      </c>
      <c r="D349" s="5">
        <f>SUBTOTAL(9, D347:D348)</f>
        <v>0</v>
      </c>
      <c r="E349" s="5">
        <f>SUBTOTAL(9, E347:E348)</f>
        <v>0</v>
      </c>
      <c r="F349" s="5">
        <f>SUBTOTAL(9, F347:F348)</f>
        <v>0</v>
      </c>
      <c r="G349" s="5">
        <f>SUBTOTAL(9, G347:G348)</f>
        <v>1835.79</v>
      </c>
      <c r="H349" s="5">
        <f>SUBTOTAL(9, H347:H348)</f>
        <v>1835.79</v>
      </c>
      <c r="I349" s="7"/>
      <c r="J349" s="9"/>
      <c r="K349" s="3" t="s">
        <v>16</v>
      </c>
      <c r="L349" s="3" t="s">
        <v>16</v>
      </c>
      <c r="M349" s="3" t="s">
        <v>70</v>
      </c>
    </row>
    <row r="350" spans="1:13" customFormat="1" ht="15" x14ac:dyDescent="0.25">
      <c r="D350" s="14"/>
      <c r="E350" s="14"/>
      <c r="F350" s="14"/>
      <c r="G350" s="14"/>
      <c r="H350" s="14"/>
    </row>
    <row r="351" spans="1:13" x14ac:dyDescent="0.2">
      <c r="A351" s="2" t="s">
        <v>312</v>
      </c>
      <c r="B351" s="2" t="s">
        <v>313</v>
      </c>
      <c r="C351" s="2" t="s">
        <v>314</v>
      </c>
      <c r="D351" s="6">
        <v>520.04</v>
      </c>
      <c r="H351" s="6">
        <v>520.04</v>
      </c>
      <c r="I351" s="8">
        <v>45152</v>
      </c>
      <c r="J351" s="10">
        <v>14</v>
      </c>
      <c r="K351" s="2" t="s">
        <v>16</v>
      </c>
      <c r="L351" s="2" t="s">
        <v>36</v>
      </c>
      <c r="M351" s="2" t="s">
        <v>63</v>
      </c>
    </row>
    <row r="352" spans="1:13" x14ac:dyDescent="0.2">
      <c r="A352" s="2" t="s">
        <v>312</v>
      </c>
      <c r="B352" s="2" t="s">
        <v>313</v>
      </c>
      <c r="C352" s="2" t="s">
        <v>315</v>
      </c>
      <c r="D352" s="6">
        <v>390.03</v>
      </c>
      <c r="H352" s="6">
        <v>390.03</v>
      </c>
      <c r="I352" s="8">
        <v>45166</v>
      </c>
      <c r="K352" s="2" t="s">
        <v>16</v>
      </c>
      <c r="L352" s="2" t="s">
        <v>36</v>
      </c>
      <c r="M352" s="2" t="s">
        <v>63</v>
      </c>
    </row>
    <row r="353" spans="1:13" customFormat="1" ht="15" x14ac:dyDescent="0.25">
      <c r="D353" s="14"/>
      <c r="E353" s="14"/>
      <c r="F353" s="14"/>
      <c r="G353" s="14"/>
      <c r="H353" s="14"/>
    </row>
    <row r="354" spans="1:13" s="4" customFormat="1" x14ac:dyDescent="0.2">
      <c r="A354" s="3" t="s">
        <v>312</v>
      </c>
      <c r="B354" s="3" t="s">
        <v>313</v>
      </c>
      <c r="C354" s="3" t="s">
        <v>16</v>
      </c>
      <c r="D354" s="5">
        <f>SUBTOTAL(9, D351:D353)</f>
        <v>910.06999999999994</v>
      </c>
      <c r="E354" s="5">
        <f>SUBTOTAL(9, E351:E353)</f>
        <v>0</v>
      </c>
      <c r="F354" s="5">
        <f>SUBTOTAL(9, F351:F353)</f>
        <v>0</v>
      </c>
      <c r="G354" s="5">
        <f>SUBTOTAL(9, G351:G353)</f>
        <v>0</v>
      </c>
      <c r="H354" s="5">
        <f>SUBTOTAL(9, H351:H353)</f>
        <v>910.06999999999994</v>
      </c>
      <c r="I354" s="7"/>
      <c r="J354" s="9"/>
      <c r="K354" s="3" t="s">
        <v>16</v>
      </c>
      <c r="L354" s="3" t="s">
        <v>16</v>
      </c>
      <c r="M354" s="3" t="s">
        <v>63</v>
      </c>
    </row>
    <row r="355" spans="1:13" customFormat="1" ht="15" x14ac:dyDescent="0.25">
      <c r="D355" s="14"/>
      <c r="E355" s="14"/>
      <c r="F355" s="14"/>
      <c r="G355" s="14"/>
      <c r="H355" s="14"/>
    </row>
    <row r="356" spans="1:13" x14ac:dyDescent="0.2">
      <c r="A356" s="2" t="s">
        <v>316</v>
      </c>
      <c r="B356" s="2" t="s">
        <v>317</v>
      </c>
      <c r="C356" s="2" t="s">
        <v>318</v>
      </c>
      <c r="F356" s="6">
        <v>10062.64</v>
      </c>
      <c r="H356" s="6">
        <v>10062.64</v>
      </c>
      <c r="I356" s="8">
        <v>45134</v>
      </c>
      <c r="J356" s="10">
        <v>32</v>
      </c>
      <c r="K356" s="2" t="s">
        <v>78</v>
      </c>
      <c r="L356" s="2" t="s">
        <v>89</v>
      </c>
      <c r="M356" s="2" t="s">
        <v>26</v>
      </c>
    </row>
    <row r="357" spans="1:13" x14ac:dyDescent="0.2">
      <c r="A357" s="2" t="s">
        <v>316</v>
      </c>
      <c r="B357" s="2" t="s">
        <v>317</v>
      </c>
      <c r="C357" s="2" t="s">
        <v>319</v>
      </c>
      <c r="E357" s="6">
        <v>3625.34</v>
      </c>
      <c r="H357" s="6">
        <v>3625.34</v>
      </c>
      <c r="I357" s="8">
        <v>45142</v>
      </c>
      <c r="J357" s="10">
        <v>24</v>
      </c>
      <c r="K357" s="2" t="s">
        <v>78</v>
      </c>
      <c r="L357" s="2" t="s">
        <v>89</v>
      </c>
      <c r="M357" s="2" t="s">
        <v>26</v>
      </c>
    </row>
    <row r="358" spans="1:13" x14ac:dyDescent="0.2">
      <c r="A358" s="2" t="s">
        <v>316</v>
      </c>
      <c r="B358" s="2" t="s">
        <v>317</v>
      </c>
      <c r="C358" s="2" t="s">
        <v>320</v>
      </c>
      <c r="E358" s="6">
        <v>5197.92</v>
      </c>
      <c r="H358" s="6">
        <v>5197.92</v>
      </c>
      <c r="I358" s="8">
        <v>45147</v>
      </c>
      <c r="J358" s="10">
        <v>19</v>
      </c>
      <c r="K358" s="2" t="s">
        <v>78</v>
      </c>
      <c r="L358" s="2" t="s">
        <v>89</v>
      </c>
      <c r="M358" s="2" t="s">
        <v>26</v>
      </c>
    </row>
    <row r="359" spans="1:13" x14ac:dyDescent="0.2">
      <c r="A359" s="2" t="s">
        <v>316</v>
      </c>
      <c r="B359" s="2" t="s">
        <v>317</v>
      </c>
      <c r="C359" s="2" t="s">
        <v>321</v>
      </c>
      <c r="D359" s="6">
        <v>6612.17</v>
      </c>
      <c r="H359" s="6">
        <v>6612.17</v>
      </c>
      <c r="I359" s="8">
        <v>45155</v>
      </c>
      <c r="J359" s="10">
        <v>11</v>
      </c>
      <c r="K359" s="2" t="s">
        <v>16</v>
      </c>
      <c r="L359" s="2" t="s">
        <v>89</v>
      </c>
      <c r="M359" s="2" t="s">
        <v>26</v>
      </c>
    </row>
    <row r="360" spans="1:13" x14ac:dyDescent="0.2">
      <c r="A360" s="2" t="s">
        <v>316</v>
      </c>
      <c r="B360" s="2" t="s">
        <v>317</v>
      </c>
      <c r="C360" s="2" t="s">
        <v>322</v>
      </c>
      <c r="D360" s="6">
        <v>4731.4399999999996</v>
      </c>
      <c r="H360" s="6">
        <v>4731.4399999999996</v>
      </c>
      <c r="I360" s="8">
        <v>45162</v>
      </c>
      <c r="J360" s="10">
        <v>4</v>
      </c>
      <c r="K360" s="2" t="s">
        <v>16</v>
      </c>
      <c r="L360" s="2" t="s">
        <v>89</v>
      </c>
      <c r="M360" s="2" t="s">
        <v>26</v>
      </c>
    </row>
    <row r="361" spans="1:13" customFormat="1" ht="15" x14ac:dyDescent="0.25">
      <c r="D361" s="14"/>
      <c r="E361" s="14"/>
      <c r="F361" s="14"/>
      <c r="G361" s="14"/>
      <c r="H361" s="14"/>
    </row>
    <row r="362" spans="1:13" s="4" customFormat="1" x14ac:dyDescent="0.2">
      <c r="A362" s="3" t="s">
        <v>316</v>
      </c>
      <c r="B362" s="3" t="s">
        <v>317</v>
      </c>
      <c r="C362" s="3" t="s">
        <v>16</v>
      </c>
      <c r="D362" s="5">
        <f>SUBTOTAL(9, D356:D361)</f>
        <v>11343.61</v>
      </c>
      <c r="E362" s="5">
        <f>SUBTOTAL(9, E356:E361)</f>
        <v>8823.26</v>
      </c>
      <c r="F362" s="5">
        <f>SUBTOTAL(9, F356:F361)</f>
        <v>10062.64</v>
      </c>
      <c r="G362" s="5">
        <f>SUBTOTAL(9, G356:G361)</f>
        <v>0</v>
      </c>
      <c r="H362" s="5">
        <f>SUBTOTAL(9, H356:H361)</f>
        <v>30229.51</v>
      </c>
      <c r="I362" s="7"/>
      <c r="J362" s="9"/>
      <c r="K362" s="3" t="s">
        <v>16</v>
      </c>
      <c r="L362" s="3" t="s">
        <v>16</v>
      </c>
      <c r="M362" s="3" t="s">
        <v>26</v>
      </c>
    </row>
    <row r="363" spans="1:13" customFormat="1" ht="15" x14ac:dyDescent="0.25">
      <c r="D363" s="14"/>
      <c r="E363" s="14"/>
      <c r="F363" s="14"/>
      <c r="G363" s="14"/>
      <c r="H363" s="14"/>
    </row>
    <row r="364" spans="1:13" x14ac:dyDescent="0.2">
      <c r="A364" s="2" t="s">
        <v>323</v>
      </c>
      <c r="B364" s="2" t="s">
        <v>324</v>
      </c>
      <c r="C364" s="2" t="s">
        <v>325</v>
      </c>
      <c r="F364" s="6">
        <v>210.31</v>
      </c>
      <c r="H364" s="6">
        <v>210.31</v>
      </c>
      <c r="I364" s="8">
        <v>45127</v>
      </c>
      <c r="J364" s="10">
        <v>39</v>
      </c>
      <c r="K364" s="2" t="s">
        <v>16</v>
      </c>
      <c r="L364" s="2" t="s">
        <v>17</v>
      </c>
      <c r="M364" s="2" t="s">
        <v>32</v>
      </c>
    </row>
    <row r="365" spans="1:13" x14ac:dyDescent="0.2">
      <c r="A365" s="2" t="s">
        <v>323</v>
      </c>
      <c r="B365" s="2" t="s">
        <v>324</v>
      </c>
      <c r="C365" s="2" t="s">
        <v>326</v>
      </c>
      <c r="E365" s="6">
        <v>401.17</v>
      </c>
      <c r="H365" s="6">
        <v>401.17</v>
      </c>
      <c r="I365" s="8">
        <v>45148</v>
      </c>
      <c r="J365" s="10">
        <v>18</v>
      </c>
      <c r="K365" s="2" t="s">
        <v>16</v>
      </c>
      <c r="L365" s="2" t="s">
        <v>17</v>
      </c>
      <c r="M365" s="2" t="s">
        <v>32</v>
      </c>
    </row>
    <row r="366" spans="1:13" x14ac:dyDescent="0.2">
      <c r="A366" s="2" t="s">
        <v>323</v>
      </c>
      <c r="B366" s="2" t="s">
        <v>324</v>
      </c>
      <c r="C366" s="2" t="s">
        <v>327</v>
      </c>
      <c r="E366" s="6">
        <v>25.29</v>
      </c>
      <c r="H366" s="6">
        <v>25.29</v>
      </c>
      <c r="I366" s="8">
        <v>45148</v>
      </c>
      <c r="J366" s="10">
        <v>18</v>
      </c>
      <c r="K366" s="2" t="s">
        <v>16</v>
      </c>
      <c r="L366" s="2" t="s">
        <v>17</v>
      </c>
      <c r="M366" s="2" t="s">
        <v>32</v>
      </c>
    </row>
    <row r="367" spans="1:13" customFormat="1" ht="15" x14ac:dyDescent="0.25">
      <c r="D367" s="14"/>
      <c r="E367" s="14"/>
      <c r="F367" s="14"/>
      <c r="G367" s="14"/>
      <c r="H367" s="14"/>
    </row>
    <row r="368" spans="1:13" s="4" customFormat="1" x14ac:dyDescent="0.2">
      <c r="A368" s="3" t="s">
        <v>323</v>
      </c>
      <c r="B368" s="3" t="s">
        <v>324</v>
      </c>
      <c r="C368" s="3" t="s">
        <v>16</v>
      </c>
      <c r="D368" s="5">
        <f>SUBTOTAL(9, D364:D367)</f>
        <v>0</v>
      </c>
      <c r="E368" s="5">
        <f>SUBTOTAL(9, E364:E367)</f>
        <v>426.46000000000004</v>
      </c>
      <c r="F368" s="5">
        <f>SUBTOTAL(9, F364:F367)</f>
        <v>210.31</v>
      </c>
      <c r="G368" s="5">
        <f>SUBTOTAL(9, G364:G367)</f>
        <v>0</v>
      </c>
      <c r="H368" s="5">
        <f>SUBTOTAL(9, H364:H367)</f>
        <v>636.77</v>
      </c>
      <c r="I368" s="7"/>
      <c r="J368" s="9"/>
      <c r="K368" s="3" t="s">
        <v>16</v>
      </c>
      <c r="L368" s="3" t="s">
        <v>16</v>
      </c>
      <c r="M368" s="3" t="s">
        <v>32</v>
      </c>
    </row>
    <row r="369" spans="1:13" customFormat="1" ht="15" x14ac:dyDescent="0.25">
      <c r="D369" s="14"/>
      <c r="E369" s="14"/>
      <c r="F369" s="14"/>
      <c r="G369" s="14"/>
      <c r="H369" s="14"/>
    </row>
    <row r="370" spans="1:13" x14ac:dyDescent="0.2">
      <c r="A370" s="2" t="s">
        <v>328</v>
      </c>
      <c r="B370" s="2" t="s">
        <v>329</v>
      </c>
      <c r="C370" s="2" t="s">
        <v>330</v>
      </c>
      <c r="E370" s="6">
        <v>942.71</v>
      </c>
      <c r="H370" s="6">
        <v>942.71</v>
      </c>
      <c r="I370" s="8">
        <v>45138</v>
      </c>
      <c r="J370" s="10">
        <v>28</v>
      </c>
      <c r="K370" s="2" t="s">
        <v>331</v>
      </c>
      <c r="L370" s="2" t="s">
        <v>17</v>
      </c>
      <c r="M370" s="2" t="s">
        <v>70</v>
      </c>
    </row>
    <row r="371" spans="1:13" x14ac:dyDescent="0.2">
      <c r="A371" s="2" t="s">
        <v>328</v>
      </c>
      <c r="B371" s="2" t="s">
        <v>329</v>
      </c>
      <c r="C371" s="2" t="s">
        <v>332</v>
      </c>
      <c r="E371" s="6">
        <v>917.9</v>
      </c>
      <c r="H371" s="6">
        <v>917.9</v>
      </c>
      <c r="I371" s="8">
        <v>45139</v>
      </c>
      <c r="J371" s="10">
        <v>27</v>
      </c>
      <c r="K371" s="2" t="s">
        <v>331</v>
      </c>
      <c r="L371" s="2" t="s">
        <v>17</v>
      </c>
      <c r="M371" s="2" t="s">
        <v>70</v>
      </c>
    </row>
    <row r="372" spans="1:13" customFormat="1" ht="15" x14ac:dyDescent="0.25">
      <c r="D372" s="14"/>
      <c r="E372" s="14"/>
      <c r="F372" s="14"/>
      <c r="G372" s="14"/>
      <c r="H372" s="14"/>
    </row>
    <row r="373" spans="1:13" s="4" customFormat="1" x14ac:dyDescent="0.2">
      <c r="A373" s="3" t="s">
        <v>328</v>
      </c>
      <c r="B373" s="3" t="s">
        <v>329</v>
      </c>
      <c r="C373" s="3" t="s">
        <v>16</v>
      </c>
      <c r="D373" s="5">
        <f>SUBTOTAL(9, D370:D372)</f>
        <v>0</v>
      </c>
      <c r="E373" s="5">
        <f>SUBTOTAL(9, E370:E372)</f>
        <v>1860.6100000000001</v>
      </c>
      <c r="F373" s="5">
        <f>SUBTOTAL(9, F370:F372)</f>
        <v>0</v>
      </c>
      <c r="G373" s="5">
        <f>SUBTOTAL(9, G370:G372)</f>
        <v>0</v>
      </c>
      <c r="H373" s="5">
        <f>SUBTOTAL(9, H370:H372)</f>
        <v>1860.6100000000001</v>
      </c>
      <c r="I373" s="7"/>
      <c r="J373" s="9"/>
      <c r="K373" s="3" t="s">
        <v>16</v>
      </c>
      <c r="L373" s="3" t="s">
        <v>16</v>
      </c>
      <c r="M373" s="3" t="s">
        <v>70</v>
      </c>
    </row>
    <row r="374" spans="1:13" customFormat="1" ht="15" x14ac:dyDescent="0.25">
      <c r="D374" s="14"/>
      <c r="E374" s="14"/>
      <c r="F374" s="14"/>
      <c r="G374" s="14"/>
      <c r="H374" s="14"/>
    </row>
    <row r="375" spans="1:13" x14ac:dyDescent="0.2">
      <c r="A375" s="2" t="s">
        <v>333</v>
      </c>
      <c r="B375" s="2" t="s">
        <v>334</v>
      </c>
      <c r="C375" s="2" t="s">
        <v>335</v>
      </c>
      <c r="E375" s="6">
        <v>0.01</v>
      </c>
      <c r="H375" s="6">
        <v>0.01</v>
      </c>
      <c r="I375" s="8">
        <v>45147</v>
      </c>
      <c r="J375" s="10">
        <v>19</v>
      </c>
      <c r="K375" s="2" t="s">
        <v>16</v>
      </c>
      <c r="L375" s="2" t="s">
        <v>36</v>
      </c>
      <c r="M375" s="2" t="s">
        <v>63</v>
      </c>
    </row>
    <row r="376" spans="1:13" x14ac:dyDescent="0.2">
      <c r="A376" s="2" t="s">
        <v>333</v>
      </c>
      <c r="B376" s="2" t="s">
        <v>334</v>
      </c>
      <c r="C376" s="2" t="s">
        <v>336</v>
      </c>
      <c r="D376" s="6">
        <v>1994.94</v>
      </c>
      <c r="H376" s="6">
        <v>1994.94</v>
      </c>
      <c r="I376" s="8">
        <v>45166</v>
      </c>
      <c r="K376" s="2" t="s">
        <v>16</v>
      </c>
      <c r="L376" s="2" t="s">
        <v>36</v>
      </c>
      <c r="M376" s="2" t="s">
        <v>63</v>
      </c>
    </row>
    <row r="377" spans="1:13" customFormat="1" ht="15" x14ac:dyDescent="0.25">
      <c r="D377" s="14"/>
      <c r="E377" s="14"/>
      <c r="F377" s="14"/>
      <c r="G377" s="14"/>
      <c r="H377" s="14"/>
    </row>
    <row r="378" spans="1:13" s="4" customFormat="1" x14ac:dyDescent="0.2">
      <c r="A378" s="3" t="s">
        <v>333</v>
      </c>
      <c r="B378" s="3" t="s">
        <v>334</v>
      </c>
      <c r="C378" s="3" t="s">
        <v>16</v>
      </c>
      <c r="D378" s="5">
        <f>SUBTOTAL(9, D375:D377)</f>
        <v>1994.94</v>
      </c>
      <c r="E378" s="5">
        <f>SUBTOTAL(9, E375:E377)</f>
        <v>0.01</v>
      </c>
      <c r="F378" s="5">
        <f>SUBTOTAL(9, F375:F377)</f>
        <v>0</v>
      </c>
      <c r="G378" s="5">
        <f>SUBTOTAL(9, G375:G377)</f>
        <v>0</v>
      </c>
      <c r="H378" s="5">
        <f>SUBTOTAL(9, H375:H377)</f>
        <v>1994.95</v>
      </c>
      <c r="I378" s="7"/>
      <c r="J378" s="9"/>
      <c r="K378" s="3" t="s">
        <v>16</v>
      </c>
      <c r="L378" s="3" t="s">
        <v>16</v>
      </c>
      <c r="M378" s="3" t="s">
        <v>63</v>
      </c>
    </row>
    <row r="379" spans="1:13" customFormat="1" ht="15" x14ac:dyDescent="0.25">
      <c r="D379" s="14"/>
      <c r="E379" s="14"/>
      <c r="F379" s="14"/>
      <c r="G379" s="14"/>
      <c r="H379" s="14"/>
    </row>
    <row r="380" spans="1:13" x14ac:dyDescent="0.2">
      <c r="A380" s="2" t="s">
        <v>337</v>
      </c>
      <c r="B380" s="2" t="s">
        <v>338</v>
      </c>
      <c r="C380" s="2" t="s">
        <v>339</v>
      </c>
      <c r="F380" s="6">
        <v>2204.89</v>
      </c>
      <c r="H380" s="6">
        <v>2204.89</v>
      </c>
      <c r="I380" s="8">
        <v>45133</v>
      </c>
      <c r="J380" s="10">
        <v>33</v>
      </c>
      <c r="K380" s="2" t="s">
        <v>16</v>
      </c>
      <c r="L380" s="2" t="s">
        <v>36</v>
      </c>
      <c r="M380" s="2" t="s">
        <v>63</v>
      </c>
    </row>
    <row r="381" spans="1:13" x14ac:dyDescent="0.2">
      <c r="A381" s="2" t="s">
        <v>337</v>
      </c>
      <c r="B381" s="2" t="s">
        <v>338</v>
      </c>
      <c r="C381" s="2" t="s">
        <v>340</v>
      </c>
      <c r="E381" s="6">
        <v>-141.12</v>
      </c>
      <c r="H381" s="6">
        <v>-141.12</v>
      </c>
      <c r="I381" s="8">
        <v>45148</v>
      </c>
      <c r="J381" s="10">
        <v>18</v>
      </c>
      <c r="K381" s="2" t="s">
        <v>16</v>
      </c>
      <c r="L381" s="2" t="s">
        <v>36</v>
      </c>
      <c r="M381" s="2" t="s">
        <v>63</v>
      </c>
    </row>
    <row r="382" spans="1:13" x14ac:dyDescent="0.2">
      <c r="A382" s="2" t="s">
        <v>337</v>
      </c>
      <c r="B382" s="2" t="s">
        <v>338</v>
      </c>
      <c r="C382" s="2" t="s">
        <v>341</v>
      </c>
      <c r="D382" s="6">
        <v>2640.87</v>
      </c>
      <c r="H382" s="6">
        <v>2640.87</v>
      </c>
      <c r="I382" s="8">
        <v>45159</v>
      </c>
      <c r="J382" s="10">
        <v>7</v>
      </c>
      <c r="K382" s="2" t="s">
        <v>16</v>
      </c>
      <c r="L382" s="2" t="s">
        <v>36</v>
      </c>
      <c r="M382" s="2" t="s">
        <v>63</v>
      </c>
    </row>
    <row r="383" spans="1:13" customFormat="1" ht="15" x14ac:dyDescent="0.25">
      <c r="D383" s="14"/>
      <c r="E383" s="14"/>
      <c r="F383" s="14"/>
      <c r="G383" s="14"/>
      <c r="H383" s="14"/>
    </row>
    <row r="384" spans="1:13" s="4" customFormat="1" x14ac:dyDescent="0.2">
      <c r="A384" s="3" t="s">
        <v>337</v>
      </c>
      <c r="B384" s="3" t="s">
        <v>338</v>
      </c>
      <c r="C384" s="3" t="s">
        <v>16</v>
      </c>
      <c r="D384" s="5">
        <f>SUBTOTAL(9, D380:D383)</f>
        <v>2640.87</v>
      </c>
      <c r="E384" s="5">
        <f>SUBTOTAL(9, E380:E383)</f>
        <v>-141.12</v>
      </c>
      <c r="F384" s="5">
        <f>SUBTOTAL(9, F380:F383)</f>
        <v>2204.89</v>
      </c>
      <c r="G384" s="5">
        <f>SUBTOTAL(9, G380:G383)</f>
        <v>0</v>
      </c>
      <c r="H384" s="5">
        <f>SUBTOTAL(9, H380:H383)</f>
        <v>4704.6399999999994</v>
      </c>
      <c r="I384" s="7"/>
      <c r="J384" s="9"/>
      <c r="K384" s="3" t="s">
        <v>16</v>
      </c>
      <c r="L384" s="3" t="s">
        <v>16</v>
      </c>
      <c r="M384" s="3" t="s">
        <v>63</v>
      </c>
    </row>
    <row r="385" spans="1:13" customFormat="1" ht="15" x14ac:dyDescent="0.25">
      <c r="D385" s="14"/>
      <c r="E385" s="14"/>
      <c r="F385" s="14"/>
      <c r="G385" s="14"/>
      <c r="H385" s="14"/>
    </row>
    <row r="386" spans="1:13" x14ac:dyDescent="0.2">
      <c r="A386" s="2" t="s">
        <v>342</v>
      </c>
      <c r="B386" s="2" t="s">
        <v>343</v>
      </c>
      <c r="C386" s="2" t="s">
        <v>344</v>
      </c>
      <c r="D386" s="6">
        <v>1804.61</v>
      </c>
      <c r="H386" s="6">
        <v>1804.61</v>
      </c>
      <c r="I386" s="8">
        <v>45159</v>
      </c>
      <c r="J386" s="10">
        <v>7</v>
      </c>
      <c r="K386" s="2" t="s">
        <v>16</v>
      </c>
      <c r="L386" s="2" t="s">
        <v>25</v>
      </c>
      <c r="M386" s="2" t="s">
        <v>237</v>
      </c>
    </row>
    <row r="387" spans="1:13" customFormat="1" ht="15" x14ac:dyDescent="0.25">
      <c r="D387" s="14"/>
      <c r="E387" s="14"/>
      <c r="F387" s="14"/>
      <c r="G387" s="14"/>
      <c r="H387" s="14"/>
    </row>
    <row r="388" spans="1:13" s="4" customFormat="1" x14ac:dyDescent="0.2">
      <c r="A388" s="3" t="s">
        <v>342</v>
      </c>
      <c r="B388" s="3" t="s">
        <v>343</v>
      </c>
      <c r="C388" s="3" t="s">
        <v>16</v>
      </c>
      <c r="D388" s="5">
        <f>SUBTOTAL(9, D386:D387)</f>
        <v>1804.61</v>
      </c>
      <c r="E388" s="5">
        <f>SUBTOTAL(9, E386:E387)</f>
        <v>0</v>
      </c>
      <c r="F388" s="5">
        <f>SUBTOTAL(9, F386:F387)</f>
        <v>0</v>
      </c>
      <c r="G388" s="5">
        <f>SUBTOTAL(9, G386:G387)</f>
        <v>0</v>
      </c>
      <c r="H388" s="5">
        <f>SUBTOTAL(9, H386:H387)</f>
        <v>1804.61</v>
      </c>
      <c r="I388" s="7"/>
      <c r="J388" s="9"/>
      <c r="K388" s="3" t="s">
        <v>16</v>
      </c>
      <c r="L388" s="3" t="s">
        <v>16</v>
      </c>
      <c r="M388" s="3" t="s">
        <v>237</v>
      </c>
    </row>
    <row r="389" spans="1:13" customFormat="1" ht="15" x14ac:dyDescent="0.25">
      <c r="D389" s="14"/>
      <c r="E389" s="14"/>
      <c r="F389" s="14"/>
      <c r="G389" s="14"/>
      <c r="H389" s="14"/>
    </row>
    <row r="390" spans="1:13" x14ac:dyDescent="0.2">
      <c r="A390" s="2" t="s">
        <v>345</v>
      </c>
      <c r="B390" s="2" t="s">
        <v>346</v>
      </c>
      <c r="C390" s="2" t="s">
        <v>347</v>
      </c>
      <c r="G390" s="6">
        <v>155.37</v>
      </c>
      <c r="H390" s="6">
        <v>155.37</v>
      </c>
      <c r="I390" s="8">
        <v>44942</v>
      </c>
      <c r="J390" s="10">
        <v>224</v>
      </c>
      <c r="K390" s="2" t="s">
        <v>16</v>
      </c>
      <c r="L390" s="2" t="s">
        <v>278</v>
      </c>
      <c r="M390" s="2" t="s">
        <v>279</v>
      </c>
    </row>
    <row r="391" spans="1:13" x14ac:dyDescent="0.2">
      <c r="A391" s="2" t="s">
        <v>345</v>
      </c>
      <c r="B391" s="2" t="s">
        <v>346</v>
      </c>
      <c r="C391" s="2" t="s">
        <v>348</v>
      </c>
      <c r="G391" s="6">
        <v>254.16</v>
      </c>
      <c r="H391" s="6">
        <v>254.16</v>
      </c>
      <c r="I391" s="8">
        <v>44949</v>
      </c>
      <c r="J391" s="10">
        <v>217</v>
      </c>
      <c r="K391" s="2" t="s">
        <v>16</v>
      </c>
      <c r="L391" s="2" t="s">
        <v>278</v>
      </c>
      <c r="M391" s="2" t="s">
        <v>279</v>
      </c>
    </row>
    <row r="392" spans="1:13" x14ac:dyDescent="0.2">
      <c r="A392" s="2" t="s">
        <v>345</v>
      </c>
      <c r="B392" s="2" t="s">
        <v>346</v>
      </c>
      <c r="C392" s="2" t="s">
        <v>349</v>
      </c>
      <c r="G392" s="6">
        <v>140.99</v>
      </c>
      <c r="H392" s="6">
        <v>140.99</v>
      </c>
      <c r="I392" s="8">
        <v>44970</v>
      </c>
      <c r="J392" s="10">
        <v>196</v>
      </c>
      <c r="K392" s="2" t="s">
        <v>16</v>
      </c>
      <c r="L392" s="2" t="s">
        <v>278</v>
      </c>
      <c r="M392" s="2" t="s">
        <v>279</v>
      </c>
    </row>
    <row r="393" spans="1:13" x14ac:dyDescent="0.2">
      <c r="A393" s="2" t="s">
        <v>345</v>
      </c>
      <c r="B393" s="2" t="s">
        <v>346</v>
      </c>
      <c r="C393" s="2" t="s">
        <v>350</v>
      </c>
      <c r="F393" s="6">
        <v>254.78</v>
      </c>
      <c r="H393" s="6">
        <v>254.78</v>
      </c>
      <c r="I393" s="8">
        <v>45124</v>
      </c>
      <c r="J393" s="10">
        <v>42</v>
      </c>
      <c r="K393" s="2" t="s">
        <v>16</v>
      </c>
      <c r="L393" s="2" t="s">
        <v>278</v>
      </c>
      <c r="M393" s="2" t="s">
        <v>279</v>
      </c>
    </row>
    <row r="394" spans="1:13" x14ac:dyDescent="0.2">
      <c r="A394" s="2" t="s">
        <v>345</v>
      </c>
      <c r="B394" s="2" t="s">
        <v>346</v>
      </c>
      <c r="C394" s="2" t="s">
        <v>351</v>
      </c>
      <c r="F394" s="6">
        <v>370.6</v>
      </c>
      <c r="H394" s="6">
        <v>370.6</v>
      </c>
      <c r="I394" s="8">
        <v>45131</v>
      </c>
      <c r="J394" s="10">
        <v>35</v>
      </c>
      <c r="K394" s="2" t="s">
        <v>16</v>
      </c>
      <c r="L394" s="2" t="s">
        <v>278</v>
      </c>
      <c r="M394" s="2" t="s">
        <v>279</v>
      </c>
    </row>
    <row r="395" spans="1:13" x14ac:dyDescent="0.2">
      <c r="A395" s="2" t="s">
        <v>345</v>
      </c>
      <c r="B395" s="2" t="s">
        <v>346</v>
      </c>
      <c r="C395" s="2" t="s">
        <v>352</v>
      </c>
      <c r="D395" s="6">
        <v>142.72999999999999</v>
      </c>
      <c r="H395" s="6">
        <v>142.72999999999999</v>
      </c>
      <c r="I395" s="8">
        <v>45153</v>
      </c>
      <c r="J395" s="10">
        <v>13</v>
      </c>
      <c r="K395" s="2" t="s">
        <v>16</v>
      </c>
      <c r="L395" s="2" t="s">
        <v>278</v>
      </c>
      <c r="M395" s="2" t="s">
        <v>279</v>
      </c>
    </row>
    <row r="396" spans="1:13" customFormat="1" ht="15" x14ac:dyDescent="0.25">
      <c r="D396" s="14"/>
      <c r="E396" s="14"/>
      <c r="F396" s="14"/>
      <c r="G396" s="14"/>
      <c r="H396" s="14"/>
    </row>
    <row r="397" spans="1:13" s="4" customFormat="1" x14ac:dyDescent="0.2">
      <c r="A397" s="3" t="s">
        <v>345</v>
      </c>
      <c r="B397" s="3" t="s">
        <v>346</v>
      </c>
      <c r="C397" s="3" t="s">
        <v>16</v>
      </c>
      <c r="D397" s="5">
        <f>SUBTOTAL(9, D390:D396)</f>
        <v>142.72999999999999</v>
      </c>
      <c r="E397" s="5">
        <f>SUBTOTAL(9, E390:E396)</f>
        <v>0</v>
      </c>
      <c r="F397" s="5">
        <f>SUBTOTAL(9, F390:F396)</f>
        <v>625.38</v>
      </c>
      <c r="G397" s="5">
        <f>SUBTOTAL(9, G390:G396)</f>
        <v>550.52</v>
      </c>
      <c r="H397" s="5">
        <f>SUBTOTAL(9, H390:H396)</f>
        <v>1318.63</v>
      </c>
      <c r="I397" s="7"/>
      <c r="J397" s="9"/>
      <c r="K397" s="3" t="s">
        <v>16</v>
      </c>
      <c r="L397" s="3" t="s">
        <v>16</v>
      </c>
      <c r="M397" s="3" t="s">
        <v>279</v>
      </c>
    </row>
    <row r="398" spans="1:13" customFormat="1" ht="15" x14ac:dyDescent="0.25">
      <c r="D398" s="14"/>
      <c r="E398" s="14"/>
      <c r="F398" s="14"/>
      <c r="G398" s="14"/>
      <c r="H398" s="14"/>
    </row>
    <row r="399" spans="1:13" x14ac:dyDescent="0.2">
      <c r="A399" s="2" t="s">
        <v>353</v>
      </c>
      <c r="B399" s="2" t="s">
        <v>354</v>
      </c>
      <c r="C399" s="2" t="s">
        <v>355</v>
      </c>
      <c r="D399" s="6">
        <v>957.78</v>
      </c>
      <c r="H399" s="6">
        <v>957.78</v>
      </c>
      <c r="I399" s="8">
        <v>45154</v>
      </c>
      <c r="J399" s="10">
        <v>12</v>
      </c>
      <c r="K399" s="2" t="s">
        <v>16</v>
      </c>
      <c r="L399" s="2" t="s">
        <v>25</v>
      </c>
      <c r="M399" s="2" t="s">
        <v>186</v>
      </c>
    </row>
    <row r="400" spans="1:13" customFormat="1" ht="15" x14ac:dyDescent="0.25">
      <c r="D400" s="14"/>
      <c r="E400" s="14"/>
      <c r="F400" s="14"/>
      <c r="G400" s="14"/>
      <c r="H400" s="14"/>
    </row>
    <row r="401" spans="1:13" s="4" customFormat="1" x14ac:dyDescent="0.2">
      <c r="A401" s="3" t="s">
        <v>353</v>
      </c>
      <c r="B401" s="3" t="s">
        <v>354</v>
      </c>
      <c r="C401" s="3" t="s">
        <v>16</v>
      </c>
      <c r="D401" s="5">
        <f>SUBTOTAL(9, D399:D400)</f>
        <v>957.78</v>
      </c>
      <c r="E401" s="5">
        <f>SUBTOTAL(9, E399:E400)</f>
        <v>0</v>
      </c>
      <c r="F401" s="5">
        <f>SUBTOTAL(9, F399:F400)</f>
        <v>0</v>
      </c>
      <c r="G401" s="5">
        <f>SUBTOTAL(9, G399:G400)</f>
        <v>0</v>
      </c>
      <c r="H401" s="5">
        <f>SUBTOTAL(9, H399:H400)</f>
        <v>957.78</v>
      </c>
      <c r="I401" s="7"/>
      <c r="J401" s="9"/>
      <c r="K401" s="3" t="s">
        <v>16</v>
      </c>
      <c r="L401" s="3" t="s">
        <v>16</v>
      </c>
      <c r="M401" s="3" t="s">
        <v>186</v>
      </c>
    </row>
    <row r="402" spans="1:13" customFormat="1" ht="15" x14ac:dyDescent="0.25">
      <c r="D402" s="14"/>
      <c r="E402" s="14"/>
      <c r="F402" s="14"/>
      <c r="G402" s="14"/>
      <c r="H402" s="14"/>
    </row>
    <row r="403" spans="1:13" x14ac:dyDescent="0.2">
      <c r="A403" s="2" t="s">
        <v>356</v>
      </c>
      <c r="B403" s="2" t="s">
        <v>357</v>
      </c>
      <c r="C403" s="2" t="s">
        <v>358</v>
      </c>
      <c r="G403" s="6">
        <v>-884.75</v>
      </c>
      <c r="H403" s="6">
        <v>-884.75</v>
      </c>
      <c r="I403" s="8">
        <v>45009</v>
      </c>
      <c r="J403" s="10">
        <v>157</v>
      </c>
      <c r="K403" s="2" t="s">
        <v>16</v>
      </c>
      <c r="L403" s="2" t="s">
        <v>278</v>
      </c>
      <c r="M403" s="2" t="s">
        <v>279</v>
      </c>
    </row>
    <row r="404" spans="1:13" x14ac:dyDescent="0.2">
      <c r="A404" s="2" t="s">
        <v>356</v>
      </c>
      <c r="B404" s="2" t="s">
        <v>357</v>
      </c>
      <c r="C404" s="2" t="s">
        <v>359</v>
      </c>
      <c r="G404" s="6">
        <v>-214.1</v>
      </c>
      <c r="H404" s="6">
        <v>-214.1</v>
      </c>
      <c r="I404" s="8">
        <v>45012</v>
      </c>
      <c r="J404" s="10">
        <v>154</v>
      </c>
      <c r="K404" s="2" t="s">
        <v>16</v>
      </c>
      <c r="L404" s="2" t="s">
        <v>278</v>
      </c>
      <c r="M404" s="2" t="s">
        <v>279</v>
      </c>
    </row>
    <row r="405" spans="1:13" x14ac:dyDescent="0.2">
      <c r="A405" s="2" t="s">
        <v>356</v>
      </c>
      <c r="B405" s="2" t="s">
        <v>357</v>
      </c>
      <c r="C405" s="2" t="s">
        <v>360</v>
      </c>
      <c r="F405" s="6">
        <v>347.43</v>
      </c>
      <c r="H405" s="6">
        <v>347.43</v>
      </c>
      <c r="I405" s="8">
        <v>45124</v>
      </c>
      <c r="J405" s="10">
        <v>42</v>
      </c>
      <c r="K405" s="2" t="s">
        <v>16</v>
      </c>
      <c r="L405" s="2" t="s">
        <v>278</v>
      </c>
      <c r="M405" s="2" t="s">
        <v>279</v>
      </c>
    </row>
    <row r="406" spans="1:13" x14ac:dyDescent="0.2">
      <c r="A406" s="2" t="s">
        <v>356</v>
      </c>
      <c r="B406" s="2" t="s">
        <v>357</v>
      </c>
      <c r="C406" s="2" t="s">
        <v>361</v>
      </c>
      <c r="F406" s="6">
        <v>2084.6</v>
      </c>
      <c r="H406" s="6">
        <v>2084.6</v>
      </c>
      <c r="I406" s="8">
        <v>45131</v>
      </c>
      <c r="J406" s="10">
        <v>35</v>
      </c>
      <c r="K406" s="2" t="s">
        <v>16</v>
      </c>
      <c r="L406" s="2" t="s">
        <v>278</v>
      </c>
      <c r="M406" s="2" t="s">
        <v>279</v>
      </c>
    </row>
    <row r="407" spans="1:13" x14ac:dyDescent="0.2">
      <c r="A407" s="2" t="s">
        <v>356</v>
      </c>
      <c r="B407" s="2" t="s">
        <v>357</v>
      </c>
      <c r="C407" s="2" t="s">
        <v>362</v>
      </c>
      <c r="E407" s="6">
        <v>-2313.56</v>
      </c>
      <c r="H407" s="6">
        <v>-2313.56</v>
      </c>
      <c r="I407" s="8">
        <v>45146</v>
      </c>
      <c r="J407" s="10">
        <v>20</v>
      </c>
      <c r="K407" s="2" t="s">
        <v>16</v>
      </c>
      <c r="L407" s="2" t="s">
        <v>278</v>
      </c>
      <c r="M407" s="2" t="s">
        <v>279</v>
      </c>
    </row>
    <row r="408" spans="1:13" x14ac:dyDescent="0.2">
      <c r="A408" s="2" t="s">
        <v>356</v>
      </c>
      <c r="B408" s="2" t="s">
        <v>357</v>
      </c>
      <c r="C408" s="2" t="s">
        <v>363</v>
      </c>
      <c r="E408" s="6">
        <v>-582.62</v>
      </c>
      <c r="H408" s="6">
        <v>-582.62</v>
      </c>
      <c r="I408" s="8">
        <v>45146</v>
      </c>
      <c r="J408" s="10">
        <v>20</v>
      </c>
      <c r="K408" s="2" t="s">
        <v>16</v>
      </c>
      <c r="L408" s="2" t="s">
        <v>278</v>
      </c>
      <c r="M408" s="2" t="s">
        <v>279</v>
      </c>
    </row>
    <row r="409" spans="1:13" x14ac:dyDescent="0.2">
      <c r="A409" s="2" t="s">
        <v>356</v>
      </c>
      <c r="B409" s="2" t="s">
        <v>357</v>
      </c>
      <c r="C409" s="2" t="s">
        <v>364</v>
      </c>
      <c r="E409" s="6">
        <v>-397.56</v>
      </c>
      <c r="H409" s="6">
        <v>-397.56</v>
      </c>
      <c r="I409" s="8">
        <v>45146</v>
      </c>
      <c r="J409" s="10">
        <v>20</v>
      </c>
      <c r="K409" s="2" t="s">
        <v>16</v>
      </c>
      <c r="L409" s="2" t="s">
        <v>278</v>
      </c>
      <c r="M409" s="2" t="s">
        <v>279</v>
      </c>
    </row>
    <row r="410" spans="1:13" x14ac:dyDescent="0.2">
      <c r="A410" s="2" t="s">
        <v>356</v>
      </c>
      <c r="B410" s="2" t="s">
        <v>357</v>
      </c>
      <c r="C410" s="2" t="s">
        <v>365</v>
      </c>
      <c r="D410" s="6">
        <v>1486.6</v>
      </c>
      <c r="H410" s="6">
        <v>1486.6</v>
      </c>
      <c r="I410" s="8">
        <v>45153</v>
      </c>
      <c r="J410" s="10">
        <v>13</v>
      </c>
      <c r="K410" s="2" t="s">
        <v>16</v>
      </c>
      <c r="L410" s="2" t="s">
        <v>278</v>
      </c>
      <c r="M410" s="2" t="s">
        <v>279</v>
      </c>
    </row>
    <row r="411" spans="1:13" customFormat="1" ht="15" x14ac:dyDescent="0.25">
      <c r="D411" s="14"/>
      <c r="E411" s="14"/>
      <c r="F411" s="14"/>
      <c r="G411" s="14"/>
      <c r="H411" s="14"/>
    </row>
    <row r="412" spans="1:13" s="4" customFormat="1" x14ac:dyDescent="0.2">
      <c r="A412" s="3" t="s">
        <v>356</v>
      </c>
      <c r="B412" s="3" t="s">
        <v>357</v>
      </c>
      <c r="C412" s="3" t="s">
        <v>16</v>
      </c>
      <c r="D412" s="5">
        <f>SUBTOTAL(9, D403:D411)</f>
        <v>1486.6</v>
      </c>
      <c r="E412" s="5">
        <f>SUBTOTAL(9, E403:E411)</f>
        <v>-3293.74</v>
      </c>
      <c r="F412" s="5">
        <f>SUBTOTAL(9, F403:F411)</f>
        <v>2432.0299999999997</v>
      </c>
      <c r="G412" s="5">
        <f>SUBTOTAL(9, G403:G411)</f>
        <v>-1098.8499999999999</v>
      </c>
      <c r="H412" s="5">
        <f>SUBTOTAL(9, H403:H411)</f>
        <v>-473.96000000000004</v>
      </c>
      <c r="I412" s="7"/>
      <c r="J412" s="9"/>
      <c r="K412" s="3" t="s">
        <v>16</v>
      </c>
      <c r="L412" s="3" t="s">
        <v>16</v>
      </c>
      <c r="M412" s="3" t="s">
        <v>279</v>
      </c>
    </row>
    <row r="413" spans="1:13" customFormat="1" ht="15" x14ac:dyDescent="0.25">
      <c r="D413" s="14"/>
      <c r="E413" s="14"/>
      <c r="F413" s="14"/>
      <c r="G413" s="14"/>
      <c r="H413" s="14"/>
    </row>
    <row r="414" spans="1:13" x14ac:dyDescent="0.2">
      <c r="A414" s="2" t="s">
        <v>366</v>
      </c>
      <c r="B414" s="2" t="s">
        <v>367</v>
      </c>
      <c r="C414" s="2" t="s">
        <v>368</v>
      </c>
      <c r="D414" s="6">
        <v>258.41000000000003</v>
      </c>
      <c r="H414" s="6">
        <v>258.41000000000003</v>
      </c>
      <c r="I414" s="8">
        <v>45162</v>
      </c>
      <c r="J414" s="10">
        <v>4</v>
      </c>
      <c r="K414" s="2" t="s">
        <v>16</v>
      </c>
      <c r="L414" s="2" t="s">
        <v>36</v>
      </c>
      <c r="M414" s="2" t="s">
        <v>41</v>
      </c>
    </row>
    <row r="415" spans="1:13" customFormat="1" ht="15" x14ac:dyDescent="0.25">
      <c r="D415" s="14"/>
      <c r="E415" s="14"/>
      <c r="F415" s="14"/>
      <c r="G415" s="14"/>
      <c r="H415" s="14"/>
    </row>
    <row r="416" spans="1:13" s="4" customFormat="1" x14ac:dyDescent="0.2">
      <c r="A416" s="3" t="s">
        <v>366</v>
      </c>
      <c r="B416" s="3" t="s">
        <v>367</v>
      </c>
      <c r="C416" s="3" t="s">
        <v>16</v>
      </c>
      <c r="D416" s="5">
        <f>SUBTOTAL(9, D414:D415)</f>
        <v>258.41000000000003</v>
      </c>
      <c r="E416" s="5">
        <f>SUBTOTAL(9, E414:E415)</f>
        <v>0</v>
      </c>
      <c r="F416" s="5">
        <f>SUBTOTAL(9, F414:F415)</f>
        <v>0</v>
      </c>
      <c r="G416" s="5">
        <f>SUBTOTAL(9, G414:G415)</f>
        <v>0</v>
      </c>
      <c r="H416" s="5">
        <f>SUBTOTAL(9, H414:H415)</f>
        <v>258.41000000000003</v>
      </c>
      <c r="I416" s="7"/>
      <c r="J416" s="9"/>
      <c r="K416" s="3" t="s">
        <v>16</v>
      </c>
      <c r="L416" s="3" t="s">
        <v>16</v>
      </c>
      <c r="M416" s="3" t="s">
        <v>41</v>
      </c>
    </row>
    <row r="417" spans="1:13" customFormat="1" ht="15" x14ac:dyDescent="0.25">
      <c r="D417" s="14"/>
      <c r="E417" s="14"/>
      <c r="F417" s="14"/>
      <c r="G417" s="14"/>
      <c r="H417" s="14"/>
    </row>
    <row r="418" spans="1:13" x14ac:dyDescent="0.2">
      <c r="A418" s="2" t="s">
        <v>369</v>
      </c>
      <c r="B418" s="2" t="s">
        <v>370</v>
      </c>
      <c r="C418" s="2" t="s">
        <v>371</v>
      </c>
      <c r="D418" s="6">
        <v>1004.98</v>
      </c>
      <c r="H418" s="6">
        <v>1004.98</v>
      </c>
      <c r="I418" s="8">
        <v>45152</v>
      </c>
      <c r="J418" s="10">
        <v>14</v>
      </c>
      <c r="K418" s="2" t="s">
        <v>16</v>
      </c>
      <c r="L418" s="2" t="s">
        <v>36</v>
      </c>
      <c r="M418" s="2" t="s">
        <v>63</v>
      </c>
    </row>
    <row r="419" spans="1:13" customFormat="1" ht="15" x14ac:dyDescent="0.25">
      <c r="D419" s="14"/>
      <c r="E419" s="14"/>
      <c r="F419" s="14"/>
      <c r="G419" s="14"/>
      <c r="H419" s="14"/>
    </row>
    <row r="420" spans="1:13" s="4" customFormat="1" x14ac:dyDescent="0.2">
      <c r="A420" s="3" t="s">
        <v>369</v>
      </c>
      <c r="B420" s="3" t="s">
        <v>370</v>
      </c>
      <c r="C420" s="3" t="s">
        <v>16</v>
      </c>
      <c r="D420" s="5">
        <f>SUBTOTAL(9, D418:D419)</f>
        <v>1004.98</v>
      </c>
      <c r="E420" s="5">
        <f>SUBTOTAL(9, E418:E419)</f>
        <v>0</v>
      </c>
      <c r="F420" s="5">
        <f>SUBTOTAL(9, F418:F419)</f>
        <v>0</v>
      </c>
      <c r="G420" s="5">
        <f>SUBTOTAL(9, G418:G419)</f>
        <v>0</v>
      </c>
      <c r="H420" s="5">
        <f>SUBTOTAL(9, H418:H419)</f>
        <v>1004.98</v>
      </c>
      <c r="I420" s="7"/>
      <c r="J420" s="9"/>
      <c r="K420" s="3" t="s">
        <v>16</v>
      </c>
      <c r="L420" s="3" t="s">
        <v>16</v>
      </c>
      <c r="M420" s="3" t="s">
        <v>63</v>
      </c>
    </row>
    <row r="421" spans="1:13" customFormat="1" ht="15" x14ac:dyDescent="0.25">
      <c r="D421" s="14"/>
      <c r="E421" s="14"/>
      <c r="F421" s="14"/>
      <c r="G421" s="14"/>
      <c r="H421" s="14"/>
    </row>
    <row r="422" spans="1:13" x14ac:dyDescent="0.2">
      <c r="A422" s="2" t="s">
        <v>372</v>
      </c>
      <c r="B422" s="2" t="s">
        <v>373</v>
      </c>
      <c r="C422" s="2" t="s">
        <v>374</v>
      </c>
      <c r="D422" s="6">
        <v>1027.51</v>
      </c>
      <c r="H422" s="6">
        <v>1027.51</v>
      </c>
      <c r="I422" s="8">
        <v>45162</v>
      </c>
      <c r="J422" s="10">
        <v>4</v>
      </c>
      <c r="K422" s="2" t="s">
        <v>16</v>
      </c>
      <c r="L422" s="2" t="s">
        <v>36</v>
      </c>
      <c r="M422" s="2" t="s">
        <v>41</v>
      </c>
    </row>
    <row r="423" spans="1:13" customFormat="1" ht="15" x14ac:dyDescent="0.25">
      <c r="D423" s="14"/>
      <c r="E423" s="14"/>
      <c r="F423" s="14"/>
      <c r="G423" s="14"/>
      <c r="H423" s="14"/>
    </row>
    <row r="424" spans="1:13" s="4" customFormat="1" x14ac:dyDescent="0.2">
      <c r="A424" s="3" t="s">
        <v>372</v>
      </c>
      <c r="B424" s="3" t="s">
        <v>373</v>
      </c>
      <c r="C424" s="3" t="s">
        <v>16</v>
      </c>
      <c r="D424" s="5">
        <f>SUBTOTAL(9, D422:D423)</f>
        <v>1027.51</v>
      </c>
      <c r="E424" s="5">
        <f>SUBTOTAL(9, E422:E423)</f>
        <v>0</v>
      </c>
      <c r="F424" s="5">
        <f>SUBTOTAL(9, F422:F423)</f>
        <v>0</v>
      </c>
      <c r="G424" s="5">
        <f>SUBTOTAL(9, G422:G423)</f>
        <v>0</v>
      </c>
      <c r="H424" s="5">
        <f>SUBTOTAL(9, H422:H423)</f>
        <v>1027.51</v>
      </c>
      <c r="I424" s="7"/>
      <c r="J424" s="9"/>
      <c r="K424" s="3" t="s">
        <v>16</v>
      </c>
      <c r="L424" s="3" t="s">
        <v>16</v>
      </c>
      <c r="M424" s="3" t="s">
        <v>41</v>
      </c>
    </row>
    <row r="425" spans="1:13" customFormat="1" ht="15" x14ac:dyDescent="0.25">
      <c r="D425" s="14"/>
      <c r="E425" s="14"/>
      <c r="F425" s="14"/>
      <c r="G425" s="14"/>
      <c r="H425" s="14"/>
    </row>
    <row r="426" spans="1:13" x14ac:dyDescent="0.2">
      <c r="A426" s="2" t="s">
        <v>375</v>
      </c>
      <c r="B426" s="2" t="s">
        <v>376</v>
      </c>
      <c r="C426" s="2" t="s">
        <v>377</v>
      </c>
      <c r="E426" s="6">
        <v>2048.77</v>
      </c>
      <c r="H426" s="6">
        <v>2048.77</v>
      </c>
      <c r="I426" s="8">
        <v>45145</v>
      </c>
      <c r="J426" s="10">
        <v>21</v>
      </c>
      <c r="K426" s="2" t="s">
        <v>16</v>
      </c>
      <c r="L426" s="2" t="s">
        <v>36</v>
      </c>
      <c r="M426" s="2" t="s">
        <v>98</v>
      </c>
    </row>
    <row r="427" spans="1:13" x14ac:dyDescent="0.2">
      <c r="A427" s="2" t="s">
        <v>375</v>
      </c>
      <c r="B427" s="2" t="s">
        <v>376</v>
      </c>
      <c r="C427" s="2" t="s">
        <v>378</v>
      </c>
      <c r="D427" s="6">
        <v>3780</v>
      </c>
      <c r="H427" s="6">
        <v>3780</v>
      </c>
      <c r="I427" s="8">
        <v>45159</v>
      </c>
      <c r="J427" s="10">
        <v>7</v>
      </c>
      <c r="K427" s="2" t="s">
        <v>16</v>
      </c>
      <c r="L427" s="2" t="s">
        <v>36</v>
      </c>
      <c r="M427" s="2" t="s">
        <v>98</v>
      </c>
    </row>
    <row r="428" spans="1:13" customFormat="1" ht="15" x14ac:dyDescent="0.25">
      <c r="D428" s="14"/>
      <c r="E428" s="14"/>
      <c r="F428" s="14"/>
      <c r="G428" s="14"/>
      <c r="H428" s="14"/>
    </row>
    <row r="429" spans="1:13" s="4" customFormat="1" x14ac:dyDescent="0.2">
      <c r="A429" s="3" t="s">
        <v>375</v>
      </c>
      <c r="B429" s="3" t="s">
        <v>376</v>
      </c>
      <c r="C429" s="3" t="s">
        <v>16</v>
      </c>
      <c r="D429" s="5">
        <f>SUBTOTAL(9, D426:D428)</f>
        <v>3780</v>
      </c>
      <c r="E429" s="5">
        <f>SUBTOTAL(9, E426:E428)</f>
        <v>2048.77</v>
      </c>
      <c r="F429" s="5">
        <f>SUBTOTAL(9, F426:F428)</f>
        <v>0</v>
      </c>
      <c r="G429" s="5">
        <f>SUBTOTAL(9, G426:G428)</f>
        <v>0</v>
      </c>
      <c r="H429" s="5">
        <f>SUBTOTAL(9, H426:H428)</f>
        <v>5828.77</v>
      </c>
      <c r="I429" s="7"/>
      <c r="J429" s="9"/>
      <c r="K429" s="3" t="s">
        <v>16</v>
      </c>
      <c r="L429" s="3" t="s">
        <v>16</v>
      </c>
      <c r="M429" s="3" t="s">
        <v>98</v>
      </c>
    </row>
    <row r="430" spans="1:13" customFormat="1" ht="15" x14ac:dyDescent="0.25">
      <c r="D430" s="14"/>
      <c r="E430" s="14"/>
      <c r="F430" s="14"/>
      <c r="G430" s="14"/>
      <c r="H430" s="14"/>
    </row>
    <row r="431" spans="1:13" x14ac:dyDescent="0.2">
      <c r="A431" s="2" t="s">
        <v>379</v>
      </c>
      <c r="B431" s="2" t="s">
        <v>380</v>
      </c>
      <c r="C431" s="2" t="s">
        <v>381</v>
      </c>
      <c r="E431" s="6">
        <v>340.03</v>
      </c>
      <c r="H431" s="6">
        <v>340.03</v>
      </c>
      <c r="I431" s="8">
        <v>45148</v>
      </c>
      <c r="J431" s="10">
        <v>18</v>
      </c>
      <c r="K431" s="2" t="s">
        <v>78</v>
      </c>
      <c r="L431" s="2" t="s">
        <v>36</v>
      </c>
      <c r="M431" s="2" t="s">
        <v>63</v>
      </c>
    </row>
    <row r="432" spans="1:13" x14ac:dyDescent="0.2">
      <c r="A432" s="2" t="s">
        <v>379</v>
      </c>
      <c r="B432" s="2" t="s">
        <v>380</v>
      </c>
      <c r="C432" s="2" t="s">
        <v>382</v>
      </c>
      <c r="D432" s="6">
        <v>340</v>
      </c>
      <c r="H432" s="6">
        <v>340</v>
      </c>
      <c r="I432" s="8">
        <v>45160</v>
      </c>
      <c r="J432" s="10">
        <v>6</v>
      </c>
      <c r="K432" s="2" t="s">
        <v>16</v>
      </c>
      <c r="L432" s="2" t="s">
        <v>36</v>
      </c>
      <c r="M432" s="2" t="s">
        <v>63</v>
      </c>
    </row>
    <row r="433" spans="1:13" customFormat="1" ht="15" x14ac:dyDescent="0.25">
      <c r="D433" s="14"/>
      <c r="E433" s="14"/>
      <c r="F433" s="14"/>
      <c r="G433" s="14"/>
      <c r="H433" s="14"/>
    </row>
    <row r="434" spans="1:13" s="4" customFormat="1" x14ac:dyDescent="0.2">
      <c r="A434" s="3" t="s">
        <v>379</v>
      </c>
      <c r="B434" s="3" t="s">
        <v>380</v>
      </c>
      <c r="C434" s="3" t="s">
        <v>16</v>
      </c>
      <c r="D434" s="5">
        <f>SUBTOTAL(9, D431:D433)</f>
        <v>340</v>
      </c>
      <c r="E434" s="5">
        <f>SUBTOTAL(9, E431:E433)</f>
        <v>340.03</v>
      </c>
      <c r="F434" s="5">
        <f>SUBTOTAL(9, F431:F433)</f>
        <v>0</v>
      </c>
      <c r="G434" s="5">
        <f>SUBTOTAL(9, G431:G433)</f>
        <v>0</v>
      </c>
      <c r="H434" s="5">
        <f>SUBTOTAL(9, H431:H433)</f>
        <v>680.03</v>
      </c>
      <c r="I434" s="7"/>
      <c r="J434" s="9"/>
      <c r="K434" s="3" t="s">
        <v>16</v>
      </c>
      <c r="L434" s="3" t="s">
        <v>16</v>
      </c>
      <c r="M434" s="3" t="s">
        <v>63</v>
      </c>
    </row>
    <row r="435" spans="1:13" customFormat="1" ht="15" x14ac:dyDescent="0.25">
      <c r="D435" s="14"/>
      <c r="E435" s="14"/>
      <c r="F435" s="14"/>
      <c r="G435" s="14"/>
      <c r="H435" s="14"/>
    </row>
    <row r="436" spans="1:13" x14ac:dyDescent="0.2">
      <c r="A436" s="2" t="s">
        <v>383</v>
      </c>
      <c r="B436" s="2" t="s">
        <v>384</v>
      </c>
      <c r="C436" s="2" t="s">
        <v>385</v>
      </c>
      <c r="D436" s="6">
        <v>560</v>
      </c>
      <c r="H436" s="6">
        <v>560</v>
      </c>
      <c r="I436" s="8">
        <v>45166</v>
      </c>
      <c r="K436" s="2" t="s">
        <v>16</v>
      </c>
      <c r="L436" s="2" t="s">
        <v>36</v>
      </c>
      <c r="M436" s="2" t="s">
        <v>63</v>
      </c>
    </row>
    <row r="437" spans="1:13" customFormat="1" ht="15" x14ac:dyDescent="0.25">
      <c r="D437" s="14"/>
      <c r="E437" s="14"/>
      <c r="F437" s="14"/>
      <c r="G437" s="14"/>
      <c r="H437" s="14"/>
    </row>
    <row r="438" spans="1:13" s="4" customFormat="1" x14ac:dyDescent="0.2">
      <c r="A438" s="3" t="s">
        <v>383</v>
      </c>
      <c r="B438" s="3" t="s">
        <v>384</v>
      </c>
      <c r="C438" s="3" t="s">
        <v>16</v>
      </c>
      <c r="D438" s="5">
        <f>SUBTOTAL(9, D436:D437)</f>
        <v>560</v>
      </c>
      <c r="E438" s="5">
        <f>SUBTOTAL(9, E436:E437)</f>
        <v>0</v>
      </c>
      <c r="F438" s="5">
        <f>SUBTOTAL(9, F436:F437)</f>
        <v>0</v>
      </c>
      <c r="G438" s="5">
        <f>SUBTOTAL(9, G436:G437)</f>
        <v>0</v>
      </c>
      <c r="H438" s="5">
        <f>SUBTOTAL(9, H436:H437)</f>
        <v>560</v>
      </c>
      <c r="I438" s="7"/>
      <c r="J438" s="9"/>
      <c r="K438" s="3" t="s">
        <v>16</v>
      </c>
      <c r="L438" s="3" t="s">
        <v>16</v>
      </c>
      <c r="M438" s="3" t="s">
        <v>63</v>
      </c>
    </row>
    <row r="439" spans="1:13" customFormat="1" ht="15" x14ac:dyDescent="0.25">
      <c r="D439" s="14"/>
      <c r="E439" s="14"/>
      <c r="F439" s="14"/>
      <c r="G439" s="14"/>
      <c r="H439" s="14"/>
    </row>
    <row r="440" spans="1:13" x14ac:dyDescent="0.2">
      <c r="A440" s="2" t="s">
        <v>386</v>
      </c>
      <c r="B440" s="2" t="s">
        <v>387</v>
      </c>
      <c r="C440" s="2" t="s">
        <v>388</v>
      </c>
      <c r="G440" s="6">
        <v>69.09</v>
      </c>
      <c r="H440" s="6">
        <v>69.09</v>
      </c>
      <c r="I440" s="8">
        <v>45120</v>
      </c>
      <c r="J440" s="10">
        <v>46</v>
      </c>
      <c r="K440" s="2" t="s">
        <v>16</v>
      </c>
      <c r="L440" s="2" t="s">
        <v>17</v>
      </c>
      <c r="M440" s="2" t="s">
        <v>32</v>
      </c>
    </row>
    <row r="441" spans="1:13" x14ac:dyDescent="0.2">
      <c r="A441" s="2" t="s">
        <v>386</v>
      </c>
      <c r="B441" s="2" t="s">
        <v>387</v>
      </c>
      <c r="C441" s="2" t="s">
        <v>389</v>
      </c>
      <c r="F441" s="6">
        <v>354.39</v>
      </c>
      <c r="H441" s="6">
        <v>354.39</v>
      </c>
      <c r="I441" s="8">
        <v>45134</v>
      </c>
      <c r="J441" s="10">
        <v>32</v>
      </c>
      <c r="K441" s="2" t="s">
        <v>16</v>
      </c>
      <c r="L441" s="2" t="s">
        <v>17</v>
      </c>
      <c r="M441" s="2" t="s">
        <v>32</v>
      </c>
    </row>
    <row r="442" spans="1:13" x14ac:dyDescent="0.2">
      <c r="A442" s="2" t="s">
        <v>386</v>
      </c>
      <c r="B442" s="2" t="s">
        <v>387</v>
      </c>
      <c r="C442" s="2" t="s">
        <v>390</v>
      </c>
      <c r="D442" s="6">
        <v>507.97</v>
      </c>
      <c r="H442" s="6">
        <v>507.97</v>
      </c>
      <c r="I442" s="8">
        <v>45155</v>
      </c>
      <c r="J442" s="10">
        <v>11</v>
      </c>
      <c r="K442" s="2" t="s">
        <v>16</v>
      </c>
      <c r="L442" s="2" t="s">
        <v>17</v>
      </c>
      <c r="M442" s="2" t="s">
        <v>32</v>
      </c>
    </row>
    <row r="443" spans="1:13" x14ac:dyDescent="0.2">
      <c r="A443" s="2" t="s">
        <v>386</v>
      </c>
      <c r="B443" s="2" t="s">
        <v>387</v>
      </c>
      <c r="C443" s="2" t="s">
        <v>391</v>
      </c>
      <c r="D443" s="6">
        <v>343.41</v>
      </c>
      <c r="H443" s="6">
        <v>343.41</v>
      </c>
      <c r="I443" s="8">
        <v>45162</v>
      </c>
      <c r="J443" s="10">
        <v>4</v>
      </c>
      <c r="K443" s="2" t="s">
        <v>16</v>
      </c>
      <c r="L443" s="2" t="s">
        <v>17</v>
      </c>
      <c r="M443" s="2" t="s">
        <v>32</v>
      </c>
    </row>
    <row r="444" spans="1:13" customFormat="1" ht="15" x14ac:dyDescent="0.25">
      <c r="D444" s="14"/>
      <c r="E444" s="14"/>
      <c r="F444" s="14"/>
      <c r="G444" s="14"/>
      <c r="H444" s="14"/>
    </row>
    <row r="445" spans="1:13" s="4" customFormat="1" x14ac:dyDescent="0.2">
      <c r="A445" s="3" t="s">
        <v>386</v>
      </c>
      <c r="B445" s="3" t="s">
        <v>387</v>
      </c>
      <c r="C445" s="3" t="s">
        <v>16</v>
      </c>
      <c r="D445" s="5">
        <f>SUBTOTAL(9, D440:D444)</f>
        <v>851.38000000000011</v>
      </c>
      <c r="E445" s="5">
        <f>SUBTOTAL(9, E440:E444)</f>
        <v>0</v>
      </c>
      <c r="F445" s="5">
        <f>SUBTOTAL(9, F440:F444)</f>
        <v>354.39</v>
      </c>
      <c r="G445" s="5">
        <f>SUBTOTAL(9, G440:G444)</f>
        <v>69.09</v>
      </c>
      <c r="H445" s="5">
        <f>SUBTOTAL(9, H440:H444)</f>
        <v>1274.8600000000001</v>
      </c>
      <c r="I445" s="7"/>
      <c r="J445" s="9"/>
      <c r="K445" s="3" t="s">
        <v>16</v>
      </c>
      <c r="L445" s="3" t="s">
        <v>16</v>
      </c>
      <c r="M445" s="3" t="s">
        <v>32</v>
      </c>
    </row>
    <row r="446" spans="1:13" customFormat="1" ht="15" x14ac:dyDescent="0.25">
      <c r="D446" s="14"/>
      <c r="E446" s="14"/>
      <c r="F446" s="14"/>
      <c r="G446" s="14"/>
      <c r="H446" s="14"/>
    </row>
    <row r="447" spans="1:13" x14ac:dyDescent="0.2">
      <c r="A447" s="2" t="s">
        <v>392</v>
      </c>
      <c r="B447" s="2" t="s">
        <v>393</v>
      </c>
      <c r="C447" s="2" t="s">
        <v>394</v>
      </c>
      <c r="F447" s="6">
        <v>2.79</v>
      </c>
      <c r="H447" s="6">
        <v>2.79</v>
      </c>
      <c r="I447" s="8">
        <v>45124</v>
      </c>
      <c r="J447" s="10">
        <v>42</v>
      </c>
      <c r="K447" s="2" t="s">
        <v>16</v>
      </c>
      <c r="L447" s="2" t="s">
        <v>36</v>
      </c>
      <c r="M447" s="2" t="s">
        <v>63</v>
      </c>
    </row>
    <row r="448" spans="1:13" x14ac:dyDescent="0.2">
      <c r="A448" s="2" t="s">
        <v>392</v>
      </c>
      <c r="B448" s="2" t="s">
        <v>393</v>
      </c>
      <c r="C448" s="2" t="s">
        <v>395</v>
      </c>
      <c r="F448" s="6">
        <v>2.79</v>
      </c>
      <c r="H448" s="6">
        <v>2.79</v>
      </c>
      <c r="I448" s="8">
        <v>45131</v>
      </c>
      <c r="J448" s="10">
        <v>35</v>
      </c>
      <c r="K448" s="2" t="s">
        <v>16</v>
      </c>
      <c r="L448" s="2" t="s">
        <v>36</v>
      </c>
      <c r="M448" s="2" t="s">
        <v>63</v>
      </c>
    </row>
    <row r="449" spans="1:13" x14ac:dyDescent="0.2">
      <c r="A449" s="2" t="s">
        <v>392</v>
      </c>
      <c r="B449" s="2" t="s">
        <v>393</v>
      </c>
      <c r="C449" s="2" t="s">
        <v>396</v>
      </c>
      <c r="E449" s="6">
        <v>581.41</v>
      </c>
      <c r="H449" s="6">
        <v>581.41</v>
      </c>
      <c r="I449" s="8">
        <v>45145</v>
      </c>
      <c r="J449" s="10">
        <v>21</v>
      </c>
      <c r="K449" s="2" t="s">
        <v>16</v>
      </c>
      <c r="L449" s="2" t="s">
        <v>36</v>
      </c>
      <c r="M449" s="2" t="s">
        <v>63</v>
      </c>
    </row>
    <row r="450" spans="1:13" x14ac:dyDescent="0.2">
      <c r="A450" s="2" t="s">
        <v>392</v>
      </c>
      <c r="B450" s="2" t="s">
        <v>393</v>
      </c>
      <c r="C450" s="2" t="s">
        <v>397</v>
      </c>
      <c r="D450" s="6">
        <v>581.41</v>
      </c>
      <c r="H450" s="6">
        <v>581.41</v>
      </c>
      <c r="I450" s="8">
        <v>45152</v>
      </c>
      <c r="J450" s="10">
        <v>14</v>
      </c>
      <c r="K450" s="2" t="s">
        <v>16</v>
      </c>
      <c r="L450" s="2" t="s">
        <v>36</v>
      </c>
      <c r="M450" s="2" t="s">
        <v>63</v>
      </c>
    </row>
    <row r="451" spans="1:13" x14ac:dyDescent="0.2">
      <c r="A451" s="2" t="s">
        <v>392</v>
      </c>
      <c r="B451" s="2" t="s">
        <v>393</v>
      </c>
      <c r="C451" s="2" t="s">
        <v>398</v>
      </c>
      <c r="D451" s="6">
        <v>581.41</v>
      </c>
      <c r="H451" s="6">
        <v>581.41</v>
      </c>
      <c r="I451" s="8">
        <v>45159</v>
      </c>
      <c r="J451" s="10">
        <v>7</v>
      </c>
      <c r="K451" s="2" t="s">
        <v>16</v>
      </c>
      <c r="L451" s="2" t="s">
        <v>36</v>
      </c>
      <c r="M451" s="2" t="s">
        <v>63</v>
      </c>
    </row>
    <row r="452" spans="1:13" x14ac:dyDescent="0.2">
      <c r="A452" s="2" t="s">
        <v>392</v>
      </c>
      <c r="B452" s="2" t="s">
        <v>393</v>
      </c>
      <c r="C452" s="2" t="s">
        <v>399</v>
      </c>
      <c r="D452" s="6">
        <v>581.41</v>
      </c>
      <c r="H452" s="6">
        <v>581.41</v>
      </c>
      <c r="I452" s="8">
        <v>45166</v>
      </c>
      <c r="K452" s="2" t="s">
        <v>16</v>
      </c>
      <c r="L452" s="2" t="s">
        <v>36</v>
      </c>
      <c r="M452" s="2" t="s">
        <v>63</v>
      </c>
    </row>
    <row r="453" spans="1:13" customFormat="1" ht="15" x14ac:dyDescent="0.25">
      <c r="D453" s="14"/>
      <c r="E453" s="14"/>
      <c r="F453" s="14"/>
      <c r="G453" s="14"/>
      <c r="H453" s="14"/>
    </row>
    <row r="454" spans="1:13" s="4" customFormat="1" x14ac:dyDescent="0.2">
      <c r="A454" s="3" t="s">
        <v>392</v>
      </c>
      <c r="B454" s="3" t="s">
        <v>393</v>
      </c>
      <c r="C454" s="3" t="s">
        <v>16</v>
      </c>
      <c r="D454" s="5">
        <f>SUBTOTAL(9, D447:D453)</f>
        <v>1744.23</v>
      </c>
      <c r="E454" s="5">
        <f>SUBTOTAL(9, E447:E453)</f>
        <v>581.41</v>
      </c>
      <c r="F454" s="5">
        <f>SUBTOTAL(9, F447:F453)</f>
        <v>5.58</v>
      </c>
      <c r="G454" s="5">
        <f>SUBTOTAL(9, G447:G453)</f>
        <v>0</v>
      </c>
      <c r="H454" s="5">
        <f>SUBTOTAL(9, H447:H453)</f>
        <v>2331.2199999999998</v>
      </c>
      <c r="I454" s="7"/>
      <c r="J454" s="9"/>
      <c r="K454" s="3" t="s">
        <v>16</v>
      </c>
      <c r="L454" s="3" t="s">
        <v>16</v>
      </c>
      <c r="M454" s="3" t="s">
        <v>63</v>
      </c>
    </row>
    <row r="455" spans="1:13" customFormat="1" ht="15" x14ac:dyDescent="0.25">
      <c r="D455" s="14"/>
      <c r="E455" s="14"/>
      <c r="F455" s="14"/>
      <c r="G455" s="14"/>
      <c r="H455" s="14"/>
    </row>
    <row r="456" spans="1:13" x14ac:dyDescent="0.2">
      <c r="A456" s="2" t="s">
        <v>400</v>
      </c>
      <c r="B456" s="2" t="s">
        <v>401</v>
      </c>
      <c r="C456" s="2" t="s">
        <v>402</v>
      </c>
      <c r="D456" s="6">
        <v>4018.98</v>
      </c>
      <c r="H456" s="6">
        <v>4018.98</v>
      </c>
      <c r="I456" s="8">
        <v>45156</v>
      </c>
      <c r="J456" s="10">
        <v>10</v>
      </c>
      <c r="K456" s="2" t="s">
        <v>16</v>
      </c>
      <c r="L456" s="2" t="s">
        <v>36</v>
      </c>
      <c r="M456" s="2" t="s">
        <v>186</v>
      </c>
    </row>
    <row r="457" spans="1:13" customFormat="1" ht="15" x14ac:dyDescent="0.25">
      <c r="D457" s="14"/>
      <c r="E457" s="14"/>
      <c r="F457" s="14"/>
      <c r="G457" s="14"/>
      <c r="H457" s="14"/>
    </row>
    <row r="458" spans="1:13" s="4" customFormat="1" x14ac:dyDescent="0.2">
      <c r="A458" s="3" t="s">
        <v>400</v>
      </c>
      <c r="B458" s="3" t="s">
        <v>401</v>
      </c>
      <c r="C458" s="3" t="s">
        <v>16</v>
      </c>
      <c r="D458" s="5">
        <f>SUBTOTAL(9, D456:D457)</f>
        <v>4018.98</v>
      </c>
      <c r="E458" s="5">
        <f>SUBTOTAL(9, E456:E457)</f>
        <v>0</v>
      </c>
      <c r="F458" s="5">
        <f>SUBTOTAL(9, F456:F457)</f>
        <v>0</v>
      </c>
      <c r="G458" s="5">
        <f>SUBTOTAL(9, G456:G457)</f>
        <v>0</v>
      </c>
      <c r="H458" s="5">
        <f>SUBTOTAL(9, H456:H457)</f>
        <v>4018.98</v>
      </c>
      <c r="I458" s="7"/>
      <c r="J458" s="9"/>
      <c r="K458" s="3" t="s">
        <v>16</v>
      </c>
      <c r="L458" s="3" t="s">
        <v>16</v>
      </c>
      <c r="M458" s="3" t="s">
        <v>186</v>
      </c>
    </row>
    <row r="459" spans="1:13" customFormat="1" ht="15" x14ac:dyDescent="0.25">
      <c r="D459" s="14"/>
      <c r="E459" s="14"/>
      <c r="F459" s="14"/>
      <c r="G459" s="14"/>
      <c r="H459" s="14"/>
    </row>
    <row r="460" spans="1:13" x14ac:dyDescent="0.2">
      <c r="A460" s="2" t="s">
        <v>403</v>
      </c>
      <c r="B460" s="2" t="s">
        <v>404</v>
      </c>
      <c r="C460" s="2" t="s">
        <v>405</v>
      </c>
      <c r="G460" s="6">
        <v>25.16</v>
      </c>
      <c r="H460" s="6">
        <v>25.16</v>
      </c>
      <c r="I460" s="8">
        <v>45055</v>
      </c>
      <c r="J460" s="10">
        <v>111</v>
      </c>
      <c r="K460" s="2" t="s">
        <v>16</v>
      </c>
      <c r="L460" s="2" t="s">
        <v>278</v>
      </c>
      <c r="M460" s="2" t="s">
        <v>279</v>
      </c>
    </row>
    <row r="461" spans="1:13" x14ac:dyDescent="0.2">
      <c r="A461" s="2" t="s">
        <v>403</v>
      </c>
      <c r="B461" s="2" t="s">
        <v>404</v>
      </c>
      <c r="C461" s="2" t="s">
        <v>406</v>
      </c>
      <c r="G461" s="6">
        <v>251.57</v>
      </c>
      <c r="H461" s="6">
        <v>251.57</v>
      </c>
      <c r="I461" s="8">
        <v>45055</v>
      </c>
      <c r="J461" s="10">
        <v>111</v>
      </c>
      <c r="K461" s="2" t="s">
        <v>16</v>
      </c>
      <c r="L461" s="2" t="s">
        <v>278</v>
      </c>
      <c r="M461" s="2" t="s">
        <v>279</v>
      </c>
    </row>
    <row r="462" spans="1:13" x14ac:dyDescent="0.2">
      <c r="A462" s="2" t="s">
        <v>403</v>
      </c>
      <c r="B462" s="2" t="s">
        <v>404</v>
      </c>
      <c r="C462" s="2" t="s">
        <v>407</v>
      </c>
      <c r="G462" s="6">
        <v>25.16</v>
      </c>
      <c r="H462" s="6">
        <v>25.16</v>
      </c>
      <c r="I462" s="8">
        <v>45055</v>
      </c>
      <c r="J462" s="10">
        <v>111</v>
      </c>
      <c r="K462" s="2" t="s">
        <v>16</v>
      </c>
      <c r="L462" s="2" t="s">
        <v>278</v>
      </c>
      <c r="M462" s="2" t="s">
        <v>279</v>
      </c>
    </row>
    <row r="463" spans="1:13" x14ac:dyDescent="0.2">
      <c r="A463" s="2" t="s">
        <v>403</v>
      </c>
      <c r="B463" s="2" t="s">
        <v>404</v>
      </c>
      <c r="C463" s="2" t="s">
        <v>408</v>
      </c>
      <c r="G463" s="6">
        <v>50.32</v>
      </c>
      <c r="H463" s="6">
        <v>50.32</v>
      </c>
      <c r="I463" s="8">
        <v>45055</v>
      </c>
      <c r="J463" s="10">
        <v>111</v>
      </c>
      <c r="K463" s="2" t="s">
        <v>16</v>
      </c>
      <c r="L463" s="2" t="s">
        <v>278</v>
      </c>
      <c r="M463" s="2" t="s">
        <v>279</v>
      </c>
    </row>
    <row r="464" spans="1:13" x14ac:dyDescent="0.2">
      <c r="A464" s="2" t="s">
        <v>403</v>
      </c>
      <c r="B464" s="2" t="s">
        <v>404</v>
      </c>
      <c r="C464" s="2" t="s">
        <v>409</v>
      </c>
      <c r="G464" s="6">
        <v>159.43</v>
      </c>
      <c r="H464" s="6">
        <v>159.43</v>
      </c>
      <c r="I464" s="8">
        <v>45083</v>
      </c>
      <c r="J464" s="10">
        <v>83</v>
      </c>
      <c r="K464" s="2" t="s">
        <v>16</v>
      </c>
      <c r="L464" s="2" t="s">
        <v>278</v>
      </c>
      <c r="M464" s="2" t="s">
        <v>279</v>
      </c>
    </row>
    <row r="465" spans="1:13" x14ac:dyDescent="0.2">
      <c r="A465" s="2" t="s">
        <v>403</v>
      </c>
      <c r="B465" s="2" t="s">
        <v>404</v>
      </c>
      <c r="C465" s="2" t="s">
        <v>410</v>
      </c>
      <c r="G465" s="6">
        <v>29.41</v>
      </c>
      <c r="H465" s="6">
        <v>29.41</v>
      </c>
      <c r="I465" s="8">
        <v>45083</v>
      </c>
      <c r="J465" s="10">
        <v>83</v>
      </c>
      <c r="K465" s="2" t="s">
        <v>16</v>
      </c>
      <c r="L465" s="2" t="s">
        <v>278</v>
      </c>
      <c r="M465" s="2" t="s">
        <v>279</v>
      </c>
    </row>
    <row r="466" spans="1:13" x14ac:dyDescent="0.2">
      <c r="A466" s="2" t="s">
        <v>403</v>
      </c>
      <c r="B466" s="2" t="s">
        <v>404</v>
      </c>
      <c r="C466" s="2" t="s">
        <v>411</v>
      </c>
      <c r="G466" s="6">
        <v>25.16</v>
      </c>
      <c r="H466" s="6">
        <v>25.16</v>
      </c>
      <c r="I466" s="8">
        <v>45083</v>
      </c>
      <c r="J466" s="10">
        <v>83</v>
      </c>
      <c r="K466" s="2" t="s">
        <v>16</v>
      </c>
      <c r="L466" s="2" t="s">
        <v>278</v>
      </c>
      <c r="M466" s="2" t="s">
        <v>279</v>
      </c>
    </row>
    <row r="467" spans="1:13" x14ac:dyDescent="0.2">
      <c r="A467" s="2" t="s">
        <v>403</v>
      </c>
      <c r="B467" s="2" t="s">
        <v>404</v>
      </c>
      <c r="C467" s="2" t="s">
        <v>412</v>
      </c>
      <c r="G467" s="6">
        <v>176.1</v>
      </c>
      <c r="H467" s="6">
        <v>176.1</v>
      </c>
      <c r="I467" s="8">
        <v>45083</v>
      </c>
      <c r="J467" s="10">
        <v>83</v>
      </c>
      <c r="K467" s="2" t="s">
        <v>16</v>
      </c>
      <c r="L467" s="2" t="s">
        <v>278</v>
      </c>
      <c r="M467" s="2" t="s">
        <v>279</v>
      </c>
    </row>
    <row r="468" spans="1:13" x14ac:dyDescent="0.2">
      <c r="A468" s="2" t="s">
        <v>403</v>
      </c>
      <c r="B468" s="2" t="s">
        <v>404</v>
      </c>
      <c r="C468" s="2" t="s">
        <v>413</v>
      </c>
      <c r="G468" s="6">
        <v>25.16</v>
      </c>
      <c r="H468" s="6">
        <v>25.16</v>
      </c>
      <c r="I468" s="8">
        <v>45090</v>
      </c>
      <c r="J468" s="10">
        <v>76</v>
      </c>
      <c r="K468" s="2" t="s">
        <v>16</v>
      </c>
      <c r="L468" s="2" t="s">
        <v>278</v>
      </c>
      <c r="M468" s="2" t="s">
        <v>279</v>
      </c>
    </row>
    <row r="469" spans="1:13" x14ac:dyDescent="0.2">
      <c r="A469" s="2" t="s">
        <v>403</v>
      </c>
      <c r="B469" s="2" t="s">
        <v>404</v>
      </c>
      <c r="C469" s="2" t="s">
        <v>414</v>
      </c>
      <c r="G469" s="6">
        <v>25.16</v>
      </c>
      <c r="H469" s="6">
        <v>25.16</v>
      </c>
      <c r="I469" s="8">
        <v>45090</v>
      </c>
      <c r="J469" s="10">
        <v>76</v>
      </c>
      <c r="K469" s="2" t="s">
        <v>16</v>
      </c>
      <c r="L469" s="2" t="s">
        <v>278</v>
      </c>
      <c r="M469" s="2" t="s">
        <v>279</v>
      </c>
    </row>
    <row r="470" spans="1:13" x14ac:dyDescent="0.2">
      <c r="A470" s="2" t="s">
        <v>403</v>
      </c>
      <c r="B470" s="2" t="s">
        <v>404</v>
      </c>
      <c r="C470" s="2" t="s">
        <v>415</v>
      </c>
      <c r="G470" s="6">
        <v>104.88</v>
      </c>
      <c r="H470" s="6">
        <v>104.88</v>
      </c>
      <c r="I470" s="8">
        <v>45090</v>
      </c>
      <c r="J470" s="10">
        <v>76</v>
      </c>
      <c r="K470" s="2" t="s">
        <v>16</v>
      </c>
      <c r="L470" s="2" t="s">
        <v>278</v>
      </c>
      <c r="M470" s="2" t="s">
        <v>279</v>
      </c>
    </row>
    <row r="471" spans="1:13" x14ac:dyDescent="0.2">
      <c r="A471" s="2" t="s">
        <v>403</v>
      </c>
      <c r="B471" s="2" t="s">
        <v>404</v>
      </c>
      <c r="C471" s="2" t="s">
        <v>416</v>
      </c>
      <c r="G471" s="6">
        <v>54.55</v>
      </c>
      <c r="H471" s="6">
        <v>54.55</v>
      </c>
      <c r="I471" s="8">
        <v>45090</v>
      </c>
      <c r="J471" s="10">
        <v>76</v>
      </c>
      <c r="K471" s="2" t="s">
        <v>16</v>
      </c>
      <c r="L471" s="2" t="s">
        <v>278</v>
      </c>
      <c r="M471" s="2" t="s">
        <v>279</v>
      </c>
    </row>
    <row r="472" spans="1:13" x14ac:dyDescent="0.2">
      <c r="A472" s="2" t="s">
        <v>403</v>
      </c>
      <c r="B472" s="2" t="s">
        <v>404</v>
      </c>
      <c r="C472" s="2" t="s">
        <v>417</v>
      </c>
      <c r="G472" s="6">
        <v>71.81</v>
      </c>
      <c r="H472" s="6">
        <v>71.81</v>
      </c>
      <c r="I472" s="8">
        <v>45090</v>
      </c>
      <c r="J472" s="10">
        <v>76</v>
      </c>
      <c r="K472" s="2" t="s">
        <v>16</v>
      </c>
      <c r="L472" s="2" t="s">
        <v>278</v>
      </c>
      <c r="M472" s="2" t="s">
        <v>279</v>
      </c>
    </row>
    <row r="473" spans="1:13" x14ac:dyDescent="0.2">
      <c r="A473" s="2" t="s">
        <v>403</v>
      </c>
      <c r="B473" s="2" t="s">
        <v>404</v>
      </c>
      <c r="C473" s="2" t="s">
        <v>418</v>
      </c>
      <c r="G473" s="6">
        <v>25.16</v>
      </c>
      <c r="H473" s="6">
        <v>25.16</v>
      </c>
      <c r="I473" s="8">
        <v>45090</v>
      </c>
      <c r="J473" s="10">
        <v>76</v>
      </c>
      <c r="K473" s="2" t="s">
        <v>16</v>
      </c>
      <c r="L473" s="2" t="s">
        <v>278</v>
      </c>
      <c r="M473" s="2" t="s">
        <v>279</v>
      </c>
    </row>
    <row r="474" spans="1:13" x14ac:dyDescent="0.2">
      <c r="A474" s="2" t="s">
        <v>403</v>
      </c>
      <c r="B474" s="2" t="s">
        <v>404</v>
      </c>
      <c r="C474" s="2" t="s">
        <v>419</v>
      </c>
      <c r="G474" s="6">
        <v>25.16</v>
      </c>
      <c r="H474" s="6">
        <v>25.16</v>
      </c>
      <c r="I474" s="8">
        <v>45091</v>
      </c>
      <c r="J474" s="10">
        <v>75</v>
      </c>
      <c r="K474" s="2" t="s">
        <v>16</v>
      </c>
      <c r="L474" s="2" t="s">
        <v>278</v>
      </c>
      <c r="M474" s="2" t="s">
        <v>279</v>
      </c>
    </row>
    <row r="475" spans="1:13" x14ac:dyDescent="0.2">
      <c r="A475" s="2" t="s">
        <v>403</v>
      </c>
      <c r="B475" s="2" t="s">
        <v>404</v>
      </c>
      <c r="C475" s="2" t="s">
        <v>420</v>
      </c>
      <c r="G475" s="6">
        <v>50.32</v>
      </c>
      <c r="H475" s="6">
        <v>50.32</v>
      </c>
      <c r="I475" s="8">
        <v>45097</v>
      </c>
      <c r="J475" s="10">
        <v>69</v>
      </c>
      <c r="K475" s="2" t="s">
        <v>16</v>
      </c>
      <c r="L475" s="2" t="s">
        <v>278</v>
      </c>
      <c r="M475" s="2" t="s">
        <v>279</v>
      </c>
    </row>
    <row r="476" spans="1:13" x14ac:dyDescent="0.2">
      <c r="A476" s="2" t="s">
        <v>403</v>
      </c>
      <c r="B476" s="2" t="s">
        <v>404</v>
      </c>
      <c r="C476" s="2" t="s">
        <v>421</v>
      </c>
      <c r="G476" s="6">
        <v>104.88</v>
      </c>
      <c r="H476" s="6">
        <v>104.88</v>
      </c>
      <c r="I476" s="8">
        <v>45097</v>
      </c>
      <c r="J476" s="10">
        <v>69</v>
      </c>
      <c r="K476" s="2" t="s">
        <v>16</v>
      </c>
      <c r="L476" s="2" t="s">
        <v>278</v>
      </c>
      <c r="M476" s="2" t="s">
        <v>279</v>
      </c>
    </row>
    <row r="477" spans="1:13" x14ac:dyDescent="0.2">
      <c r="A477" s="2" t="s">
        <v>403</v>
      </c>
      <c r="B477" s="2" t="s">
        <v>404</v>
      </c>
      <c r="C477" s="2" t="s">
        <v>422</v>
      </c>
      <c r="G477" s="6">
        <v>50.32</v>
      </c>
      <c r="H477" s="6">
        <v>50.32</v>
      </c>
      <c r="I477" s="8">
        <v>45097</v>
      </c>
      <c r="J477" s="10">
        <v>69</v>
      </c>
      <c r="K477" s="2" t="s">
        <v>16</v>
      </c>
      <c r="L477" s="2" t="s">
        <v>278</v>
      </c>
      <c r="M477" s="2" t="s">
        <v>279</v>
      </c>
    </row>
    <row r="478" spans="1:13" x14ac:dyDescent="0.2">
      <c r="A478" s="2" t="s">
        <v>403</v>
      </c>
      <c r="B478" s="2" t="s">
        <v>404</v>
      </c>
      <c r="C478" s="2" t="s">
        <v>423</v>
      </c>
      <c r="G478" s="6">
        <v>25.16</v>
      </c>
      <c r="H478" s="6">
        <v>25.16</v>
      </c>
      <c r="I478" s="8">
        <v>45097</v>
      </c>
      <c r="J478" s="10">
        <v>69</v>
      </c>
      <c r="K478" s="2" t="s">
        <v>16</v>
      </c>
      <c r="L478" s="2" t="s">
        <v>278</v>
      </c>
      <c r="M478" s="2" t="s">
        <v>279</v>
      </c>
    </row>
    <row r="479" spans="1:13" x14ac:dyDescent="0.2">
      <c r="A479" s="2" t="s">
        <v>403</v>
      </c>
      <c r="B479" s="2" t="s">
        <v>404</v>
      </c>
      <c r="C479" s="2" t="s">
        <v>424</v>
      </c>
      <c r="G479" s="6">
        <v>50.32</v>
      </c>
      <c r="H479" s="6">
        <v>50.32</v>
      </c>
      <c r="I479" s="8">
        <v>45097</v>
      </c>
      <c r="J479" s="10">
        <v>69</v>
      </c>
      <c r="K479" s="2" t="s">
        <v>16</v>
      </c>
      <c r="L479" s="2" t="s">
        <v>278</v>
      </c>
      <c r="M479" s="2" t="s">
        <v>279</v>
      </c>
    </row>
    <row r="480" spans="1:13" x14ac:dyDescent="0.2">
      <c r="A480" s="2" t="s">
        <v>403</v>
      </c>
      <c r="B480" s="2" t="s">
        <v>404</v>
      </c>
      <c r="C480" s="2" t="s">
        <v>425</v>
      </c>
      <c r="G480" s="6">
        <v>79.709999999999994</v>
      </c>
      <c r="H480" s="6">
        <v>79.709999999999994</v>
      </c>
      <c r="I480" s="8">
        <v>45097</v>
      </c>
      <c r="J480" s="10">
        <v>69</v>
      </c>
      <c r="K480" s="2" t="s">
        <v>16</v>
      </c>
      <c r="L480" s="2" t="s">
        <v>278</v>
      </c>
      <c r="M480" s="2" t="s">
        <v>279</v>
      </c>
    </row>
    <row r="481" spans="1:13" x14ac:dyDescent="0.2">
      <c r="A481" s="2" t="s">
        <v>403</v>
      </c>
      <c r="B481" s="2" t="s">
        <v>404</v>
      </c>
      <c r="C481" s="2" t="s">
        <v>426</v>
      </c>
      <c r="G481" s="6">
        <v>25.16</v>
      </c>
      <c r="H481" s="6">
        <v>25.16</v>
      </c>
      <c r="I481" s="8">
        <v>45097</v>
      </c>
      <c r="J481" s="10">
        <v>69</v>
      </c>
      <c r="K481" s="2" t="s">
        <v>16</v>
      </c>
      <c r="L481" s="2" t="s">
        <v>278</v>
      </c>
      <c r="M481" s="2" t="s">
        <v>279</v>
      </c>
    </row>
    <row r="482" spans="1:13" x14ac:dyDescent="0.2">
      <c r="A482" s="2" t="s">
        <v>403</v>
      </c>
      <c r="B482" s="2" t="s">
        <v>404</v>
      </c>
      <c r="C482" s="2" t="s">
        <v>427</v>
      </c>
      <c r="G482" s="6">
        <v>25.16</v>
      </c>
      <c r="H482" s="6">
        <v>25.16</v>
      </c>
      <c r="I482" s="8">
        <v>45097</v>
      </c>
      <c r="J482" s="10">
        <v>69</v>
      </c>
      <c r="K482" s="2" t="s">
        <v>16</v>
      </c>
      <c r="L482" s="2" t="s">
        <v>278</v>
      </c>
      <c r="M482" s="2" t="s">
        <v>279</v>
      </c>
    </row>
    <row r="483" spans="1:13" x14ac:dyDescent="0.2">
      <c r="A483" s="2" t="s">
        <v>403</v>
      </c>
      <c r="B483" s="2" t="s">
        <v>404</v>
      </c>
      <c r="C483" s="2" t="s">
        <v>428</v>
      </c>
      <c r="G483" s="6">
        <v>25.16</v>
      </c>
      <c r="H483" s="6">
        <v>25.16</v>
      </c>
      <c r="I483" s="8">
        <v>45097</v>
      </c>
      <c r="J483" s="10">
        <v>69</v>
      </c>
      <c r="K483" s="2" t="s">
        <v>16</v>
      </c>
      <c r="L483" s="2" t="s">
        <v>278</v>
      </c>
      <c r="M483" s="2" t="s">
        <v>279</v>
      </c>
    </row>
    <row r="484" spans="1:13" x14ac:dyDescent="0.2">
      <c r="A484" s="2" t="s">
        <v>403</v>
      </c>
      <c r="B484" s="2" t="s">
        <v>404</v>
      </c>
      <c r="C484" s="2" t="s">
        <v>429</v>
      </c>
      <c r="G484" s="6">
        <v>29.41</v>
      </c>
      <c r="H484" s="6">
        <v>29.41</v>
      </c>
      <c r="I484" s="8">
        <v>45097</v>
      </c>
      <c r="J484" s="10">
        <v>69</v>
      </c>
      <c r="K484" s="2" t="s">
        <v>16</v>
      </c>
      <c r="L484" s="2" t="s">
        <v>278</v>
      </c>
      <c r="M484" s="2" t="s">
        <v>279</v>
      </c>
    </row>
    <row r="485" spans="1:13" x14ac:dyDescent="0.2">
      <c r="A485" s="2" t="s">
        <v>403</v>
      </c>
      <c r="B485" s="2" t="s">
        <v>404</v>
      </c>
      <c r="C485" s="2" t="s">
        <v>430</v>
      </c>
      <c r="G485" s="6">
        <v>29.41</v>
      </c>
      <c r="H485" s="6">
        <v>29.41</v>
      </c>
      <c r="I485" s="8">
        <v>45104</v>
      </c>
      <c r="J485" s="10">
        <v>62</v>
      </c>
      <c r="K485" s="2" t="s">
        <v>16</v>
      </c>
      <c r="L485" s="2" t="s">
        <v>278</v>
      </c>
      <c r="M485" s="2" t="s">
        <v>279</v>
      </c>
    </row>
    <row r="486" spans="1:13" x14ac:dyDescent="0.2">
      <c r="A486" s="2" t="s">
        <v>403</v>
      </c>
      <c r="B486" s="2" t="s">
        <v>404</v>
      </c>
      <c r="C486" s="2" t="s">
        <v>431</v>
      </c>
      <c r="G486" s="6">
        <v>75.48</v>
      </c>
      <c r="H486" s="6">
        <v>75.48</v>
      </c>
      <c r="I486" s="8">
        <v>45105</v>
      </c>
      <c r="J486" s="10">
        <v>61</v>
      </c>
      <c r="K486" s="2" t="s">
        <v>16</v>
      </c>
      <c r="L486" s="2" t="s">
        <v>278</v>
      </c>
      <c r="M486" s="2" t="s">
        <v>279</v>
      </c>
    </row>
    <row r="487" spans="1:13" x14ac:dyDescent="0.2">
      <c r="A487" s="2" t="s">
        <v>403</v>
      </c>
      <c r="B487" s="2" t="s">
        <v>404</v>
      </c>
      <c r="C487" s="2" t="s">
        <v>432</v>
      </c>
      <c r="G487" s="6">
        <v>29.41</v>
      </c>
      <c r="H487" s="6">
        <v>29.41</v>
      </c>
      <c r="I487" s="8">
        <v>45105</v>
      </c>
      <c r="J487" s="10">
        <v>61</v>
      </c>
      <c r="K487" s="2" t="s">
        <v>16</v>
      </c>
      <c r="L487" s="2" t="s">
        <v>278</v>
      </c>
      <c r="M487" s="2" t="s">
        <v>279</v>
      </c>
    </row>
    <row r="488" spans="1:13" x14ac:dyDescent="0.2">
      <c r="A488" s="2" t="s">
        <v>403</v>
      </c>
      <c r="B488" s="2" t="s">
        <v>404</v>
      </c>
      <c r="C488" s="2" t="s">
        <v>433</v>
      </c>
      <c r="G488" s="6">
        <v>25.16</v>
      </c>
      <c r="H488" s="6">
        <v>25.16</v>
      </c>
      <c r="I488" s="8">
        <v>45105</v>
      </c>
      <c r="J488" s="10">
        <v>61</v>
      </c>
      <c r="K488" s="2" t="s">
        <v>16</v>
      </c>
      <c r="L488" s="2" t="s">
        <v>278</v>
      </c>
      <c r="M488" s="2" t="s">
        <v>279</v>
      </c>
    </row>
    <row r="489" spans="1:13" x14ac:dyDescent="0.2">
      <c r="A489" s="2" t="s">
        <v>403</v>
      </c>
      <c r="B489" s="2" t="s">
        <v>404</v>
      </c>
      <c r="C489" s="2" t="s">
        <v>434</v>
      </c>
      <c r="G489" s="6">
        <v>50.32</v>
      </c>
      <c r="H489" s="6">
        <v>50.32</v>
      </c>
      <c r="I489" s="8">
        <v>45105</v>
      </c>
      <c r="J489" s="10">
        <v>61</v>
      </c>
      <c r="K489" s="2" t="s">
        <v>16</v>
      </c>
      <c r="L489" s="2" t="s">
        <v>278</v>
      </c>
      <c r="M489" s="2" t="s">
        <v>279</v>
      </c>
    </row>
    <row r="490" spans="1:13" x14ac:dyDescent="0.2">
      <c r="A490" s="2" t="s">
        <v>403</v>
      </c>
      <c r="B490" s="2" t="s">
        <v>404</v>
      </c>
      <c r="C490" s="2" t="s">
        <v>435</v>
      </c>
      <c r="G490" s="6">
        <v>125.79</v>
      </c>
      <c r="H490" s="6">
        <v>125.79</v>
      </c>
      <c r="I490" s="8">
        <v>45105</v>
      </c>
      <c r="J490" s="10">
        <v>61</v>
      </c>
      <c r="K490" s="2" t="s">
        <v>16</v>
      </c>
      <c r="L490" s="2" t="s">
        <v>278</v>
      </c>
      <c r="M490" s="2" t="s">
        <v>279</v>
      </c>
    </row>
    <row r="491" spans="1:13" x14ac:dyDescent="0.2">
      <c r="A491" s="2" t="s">
        <v>403</v>
      </c>
      <c r="B491" s="2" t="s">
        <v>404</v>
      </c>
      <c r="C491" s="2" t="s">
        <v>436</v>
      </c>
      <c r="G491" s="6">
        <v>50.32</v>
      </c>
      <c r="H491" s="6">
        <v>50.32</v>
      </c>
      <c r="I491" s="8">
        <v>45105</v>
      </c>
      <c r="J491" s="10">
        <v>61</v>
      </c>
      <c r="K491" s="2" t="s">
        <v>16</v>
      </c>
      <c r="L491" s="2" t="s">
        <v>278</v>
      </c>
      <c r="M491" s="2" t="s">
        <v>279</v>
      </c>
    </row>
    <row r="492" spans="1:13" x14ac:dyDescent="0.2">
      <c r="A492" s="2" t="s">
        <v>403</v>
      </c>
      <c r="B492" s="2" t="s">
        <v>404</v>
      </c>
      <c r="C492" s="2" t="s">
        <v>437</v>
      </c>
      <c r="G492" s="6">
        <v>25.16</v>
      </c>
      <c r="H492" s="6">
        <v>25.16</v>
      </c>
      <c r="I492" s="8">
        <v>45105</v>
      </c>
      <c r="J492" s="10">
        <v>61</v>
      </c>
      <c r="K492" s="2" t="s">
        <v>16</v>
      </c>
      <c r="L492" s="2" t="s">
        <v>278</v>
      </c>
      <c r="M492" s="2" t="s">
        <v>279</v>
      </c>
    </row>
    <row r="493" spans="1:13" x14ac:dyDescent="0.2">
      <c r="A493" s="2" t="s">
        <v>403</v>
      </c>
      <c r="B493" s="2" t="s">
        <v>404</v>
      </c>
      <c r="C493" s="2" t="s">
        <v>438</v>
      </c>
      <c r="D493" s="6">
        <v>-2.52</v>
      </c>
      <c r="H493" s="6">
        <v>-2.52</v>
      </c>
      <c r="I493" s="8">
        <v>45160</v>
      </c>
      <c r="J493" s="10">
        <v>6</v>
      </c>
      <c r="K493" s="2" t="s">
        <v>16</v>
      </c>
      <c r="L493" s="2" t="s">
        <v>439</v>
      </c>
      <c r="M493" s="2" t="s">
        <v>279</v>
      </c>
    </row>
    <row r="494" spans="1:13" x14ac:dyDescent="0.2">
      <c r="A494" s="2" t="s">
        <v>403</v>
      </c>
      <c r="B494" s="2" t="s">
        <v>404</v>
      </c>
      <c r="C494" s="2" t="s">
        <v>440</v>
      </c>
      <c r="D494" s="6">
        <v>-15.1</v>
      </c>
      <c r="H494" s="6">
        <v>-15.1</v>
      </c>
      <c r="I494" s="8">
        <v>45160</v>
      </c>
      <c r="J494" s="10">
        <v>6</v>
      </c>
      <c r="K494" s="2" t="s">
        <v>16</v>
      </c>
      <c r="L494" s="2" t="s">
        <v>439</v>
      </c>
      <c r="M494" s="2" t="s">
        <v>279</v>
      </c>
    </row>
    <row r="495" spans="1:13" x14ac:dyDescent="0.2">
      <c r="A495" s="2" t="s">
        <v>403</v>
      </c>
      <c r="B495" s="2" t="s">
        <v>404</v>
      </c>
      <c r="C495" s="2" t="s">
        <v>441</v>
      </c>
      <c r="D495" s="6">
        <v>-17.61</v>
      </c>
      <c r="H495" s="6">
        <v>-17.61</v>
      </c>
      <c r="I495" s="8">
        <v>45160</v>
      </c>
      <c r="J495" s="10">
        <v>6</v>
      </c>
      <c r="K495" s="2" t="s">
        <v>16</v>
      </c>
      <c r="L495" s="2" t="s">
        <v>439</v>
      </c>
      <c r="M495" s="2" t="s">
        <v>279</v>
      </c>
    </row>
    <row r="496" spans="1:13" customFormat="1" ht="15" x14ac:dyDescent="0.25">
      <c r="D496" s="14"/>
      <c r="E496" s="14"/>
      <c r="F496" s="14"/>
      <c r="G496" s="14"/>
      <c r="H496" s="14"/>
    </row>
    <row r="497" spans="1:13" s="4" customFormat="1" x14ac:dyDescent="0.2">
      <c r="A497" s="3" t="s">
        <v>403</v>
      </c>
      <c r="B497" s="3" t="s">
        <v>404</v>
      </c>
      <c r="C497" s="3" t="s">
        <v>16</v>
      </c>
      <c r="D497" s="5">
        <f>SUBTOTAL(9, D460:D496)</f>
        <v>-35.230000000000004</v>
      </c>
      <c r="E497" s="5">
        <f>SUBTOTAL(9, E460:E496)</f>
        <v>0</v>
      </c>
      <c r="F497" s="5">
        <f>SUBTOTAL(9, F460:F496)</f>
        <v>0</v>
      </c>
      <c r="G497" s="5">
        <f>SUBTOTAL(9, G460:G496)</f>
        <v>1950.8400000000004</v>
      </c>
      <c r="H497" s="5">
        <f>SUBTOTAL(9, H460:H496)</f>
        <v>1915.6100000000006</v>
      </c>
      <c r="I497" s="7"/>
      <c r="J497" s="9"/>
      <c r="K497" s="3" t="s">
        <v>16</v>
      </c>
      <c r="L497" s="3" t="s">
        <v>16</v>
      </c>
      <c r="M497" s="3" t="s">
        <v>279</v>
      </c>
    </row>
    <row r="498" spans="1:13" customFormat="1" ht="15" x14ac:dyDescent="0.25">
      <c r="D498" s="14"/>
      <c r="E498" s="14"/>
      <c r="F498" s="14"/>
      <c r="G498" s="14"/>
      <c r="H498" s="14"/>
    </row>
    <row r="499" spans="1:13" x14ac:dyDescent="0.2">
      <c r="A499" s="2" t="s">
        <v>442</v>
      </c>
      <c r="B499" s="2" t="s">
        <v>443</v>
      </c>
      <c r="C499" s="2" t="s">
        <v>444</v>
      </c>
      <c r="D499" s="6">
        <v>772.23</v>
      </c>
      <c r="H499" s="6">
        <v>772.23</v>
      </c>
      <c r="I499" s="8">
        <v>45155</v>
      </c>
      <c r="J499" s="10">
        <v>11</v>
      </c>
      <c r="K499" s="2" t="s">
        <v>16</v>
      </c>
      <c r="L499" s="2" t="s">
        <v>25</v>
      </c>
      <c r="M499" s="2" t="s">
        <v>26</v>
      </c>
    </row>
    <row r="500" spans="1:13" x14ac:dyDescent="0.2">
      <c r="A500" s="2" t="s">
        <v>442</v>
      </c>
      <c r="B500" s="2" t="s">
        <v>443</v>
      </c>
      <c r="C500" s="2" t="s">
        <v>445</v>
      </c>
      <c r="D500" s="6">
        <v>1292.03</v>
      </c>
      <c r="H500" s="6">
        <v>1292.03</v>
      </c>
      <c r="I500" s="8">
        <v>45162</v>
      </c>
      <c r="J500" s="10">
        <v>4</v>
      </c>
      <c r="K500" s="2" t="s">
        <v>16</v>
      </c>
      <c r="L500" s="2" t="s">
        <v>25</v>
      </c>
      <c r="M500" s="2" t="s">
        <v>26</v>
      </c>
    </row>
    <row r="501" spans="1:13" customFormat="1" ht="15" x14ac:dyDescent="0.25">
      <c r="D501" s="14"/>
      <c r="E501" s="14"/>
      <c r="F501" s="14"/>
      <c r="G501" s="14"/>
      <c r="H501" s="14"/>
    </row>
    <row r="502" spans="1:13" s="4" customFormat="1" x14ac:dyDescent="0.2">
      <c r="A502" s="3" t="s">
        <v>442</v>
      </c>
      <c r="B502" s="3" t="s">
        <v>443</v>
      </c>
      <c r="C502" s="3" t="s">
        <v>16</v>
      </c>
      <c r="D502" s="5">
        <f>SUBTOTAL(9, D499:D501)</f>
        <v>2064.2600000000002</v>
      </c>
      <c r="E502" s="5">
        <f>SUBTOTAL(9, E499:E501)</f>
        <v>0</v>
      </c>
      <c r="F502" s="5">
        <f>SUBTOTAL(9, F499:F501)</f>
        <v>0</v>
      </c>
      <c r="G502" s="5">
        <f>SUBTOTAL(9, G499:G501)</f>
        <v>0</v>
      </c>
      <c r="H502" s="5">
        <f>SUBTOTAL(9, H499:H501)</f>
        <v>2064.2600000000002</v>
      </c>
      <c r="I502" s="7"/>
      <c r="J502" s="9"/>
      <c r="K502" s="3" t="s">
        <v>16</v>
      </c>
      <c r="L502" s="3" t="s">
        <v>16</v>
      </c>
      <c r="M502" s="3" t="s">
        <v>26</v>
      </c>
    </row>
    <row r="503" spans="1:13" customFormat="1" ht="15" x14ac:dyDescent="0.25">
      <c r="D503" s="14"/>
      <c r="E503" s="14"/>
      <c r="F503" s="14"/>
      <c r="G503" s="14"/>
      <c r="H503" s="14"/>
    </row>
    <row r="504" spans="1:13" x14ac:dyDescent="0.2">
      <c r="A504" s="2" t="s">
        <v>446</v>
      </c>
      <c r="B504" s="2" t="s">
        <v>447</v>
      </c>
      <c r="C504" s="2" t="s">
        <v>448</v>
      </c>
      <c r="E504" s="6">
        <v>959.44</v>
      </c>
      <c r="H504" s="6">
        <v>959.44</v>
      </c>
      <c r="I504" s="8">
        <v>45145</v>
      </c>
      <c r="J504" s="10">
        <v>21</v>
      </c>
      <c r="K504" s="2" t="s">
        <v>16</v>
      </c>
      <c r="L504" s="2" t="s">
        <v>25</v>
      </c>
      <c r="M504" s="2" t="s">
        <v>98</v>
      </c>
    </row>
    <row r="505" spans="1:13" x14ac:dyDescent="0.2">
      <c r="A505" s="2" t="s">
        <v>446</v>
      </c>
      <c r="B505" s="2" t="s">
        <v>447</v>
      </c>
      <c r="C505" s="2" t="s">
        <v>449</v>
      </c>
      <c r="D505" s="6">
        <v>1300.0999999999999</v>
      </c>
      <c r="H505" s="6">
        <v>1300.0999999999999</v>
      </c>
      <c r="I505" s="8">
        <v>45152</v>
      </c>
      <c r="J505" s="10">
        <v>14</v>
      </c>
      <c r="K505" s="2" t="s">
        <v>16</v>
      </c>
      <c r="L505" s="2" t="s">
        <v>25</v>
      </c>
      <c r="M505" s="2" t="s">
        <v>98</v>
      </c>
    </row>
    <row r="506" spans="1:13" customFormat="1" ht="15" x14ac:dyDescent="0.25">
      <c r="D506" s="14"/>
      <c r="E506" s="14"/>
      <c r="F506" s="14"/>
      <c r="G506" s="14"/>
      <c r="H506" s="14"/>
    </row>
    <row r="507" spans="1:13" s="4" customFormat="1" x14ac:dyDescent="0.2">
      <c r="A507" s="3" t="s">
        <v>446</v>
      </c>
      <c r="B507" s="3" t="s">
        <v>447</v>
      </c>
      <c r="C507" s="3" t="s">
        <v>16</v>
      </c>
      <c r="D507" s="5">
        <f>SUBTOTAL(9, D504:D506)</f>
        <v>1300.0999999999999</v>
      </c>
      <c r="E507" s="5">
        <f>SUBTOTAL(9, E504:E506)</f>
        <v>959.44</v>
      </c>
      <c r="F507" s="5">
        <f>SUBTOTAL(9, F504:F506)</f>
        <v>0</v>
      </c>
      <c r="G507" s="5">
        <f>SUBTOTAL(9, G504:G506)</f>
        <v>0</v>
      </c>
      <c r="H507" s="5">
        <f>SUBTOTAL(9, H504:H506)</f>
        <v>2259.54</v>
      </c>
      <c r="I507" s="7"/>
      <c r="J507" s="9"/>
      <c r="K507" s="3" t="s">
        <v>16</v>
      </c>
      <c r="L507" s="3" t="s">
        <v>16</v>
      </c>
      <c r="M507" s="3" t="s">
        <v>98</v>
      </c>
    </row>
    <row r="508" spans="1:13" customFormat="1" ht="15" x14ac:dyDescent="0.25">
      <c r="D508" s="14"/>
      <c r="E508" s="14"/>
      <c r="F508" s="14"/>
      <c r="G508" s="14"/>
      <c r="H508" s="14"/>
    </row>
    <row r="509" spans="1:13" x14ac:dyDescent="0.2">
      <c r="A509" s="2" t="s">
        <v>450</v>
      </c>
      <c r="B509" s="2" t="s">
        <v>451</v>
      </c>
      <c r="C509" s="2" t="s">
        <v>452</v>
      </c>
      <c r="E509" s="6">
        <v>1545.29</v>
      </c>
      <c r="H509" s="6">
        <v>1545.29</v>
      </c>
      <c r="I509" s="8">
        <v>45145</v>
      </c>
      <c r="J509" s="10">
        <v>21</v>
      </c>
      <c r="K509" s="2" t="s">
        <v>78</v>
      </c>
      <c r="L509" s="2" t="s">
        <v>25</v>
      </c>
      <c r="M509" s="2" t="s">
        <v>63</v>
      </c>
    </row>
    <row r="510" spans="1:13" x14ac:dyDescent="0.2">
      <c r="A510" s="2" t="s">
        <v>450</v>
      </c>
      <c r="B510" s="2" t="s">
        <v>451</v>
      </c>
      <c r="C510" s="2" t="s">
        <v>453</v>
      </c>
      <c r="D510" s="6">
        <v>1592.12</v>
      </c>
      <c r="H510" s="6">
        <v>1592.12</v>
      </c>
      <c r="I510" s="8">
        <v>45152</v>
      </c>
      <c r="J510" s="10">
        <v>14</v>
      </c>
      <c r="K510" s="2" t="s">
        <v>78</v>
      </c>
      <c r="L510" s="2" t="s">
        <v>25</v>
      </c>
      <c r="M510" s="2" t="s">
        <v>63</v>
      </c>
    </row>
    <row r="511" spans="1:13" x14ac:dyDescent="0.2">
      <c r="A511" s="2" t="s">
        <v>450</v>
      </c>
      <c r="B511" s="2" t="s">
        <v>451</v>
      </c>
      <c r="C511" s="2" t="s">
        <v>454</v>
      </c>
      <c r="D511" s="6">
        <v>1658.76</v>
      </c>
      <c r="H511" s="6">
        <v>1658.76</v>
      </c>
      <c r="I511" s="8">
        <v>45159</v>
      </c>
      <c r="J511" s="10">
        <v>7</v>
      </c>
      <c r="K511" s="2" t="s">
        <v>16</v>
      </c>
      <c r="L511" s="2" t="s">
        <v>25</v>
      </c>
      <c r="M511" s="2" t="s">
        <v>63</v>
      </c>
    </row>
    <row r="512" spans="1:13" x14ac:dyDescent="0.2">
      <c r="A512" s="2" t="s">
        <v>450</v>
      </c>
      <c r="B512" s="2" t="s">
        <v>451</v>
      </c>
      <c r="C512" s="2" t="s">
        <v>455</v>
      </c>
      <c r="D512" s="6">
        <v>1698.37</v>
      </c>
      <c r="H512" s="6">
        <v>1698.37</v>
      </c>
      <c r="I512" s="8">
        <v>45166</v>
      </c>
      <c r="K512" s="2" t="s">
        <v>16</v>
      </c>
      <c r="L512" s="2" t="s">
        <v>25</v>
      </c>
      <c r="M512" s="2" t="s">
        <v>63</v>
      </c>
    </row>
    <row r="513" spans="1:13" customFormat="1" ht="15" x14ac:dyDescent="0.25">
      <c r="D513" s="14"/>
      <c r="E513" s="14"/>
      <c r="F513" s="14"/>
      <c r="G513" s="14"/>
      <c r="H513" s="14"/>
    </row>
    <row r="514" spans="1:13" s="4" customFormat="1" x14ac:dyDescent="0.2">
      <c r="A514" s="3" t="s">
        <v>450</v>
      </c>
      <c r="B514" s="3" t="s">
        <v>451</v>
      </c>
      <c r="C514" s="3" t="s">
        <v>16</v>
      </c>
      <c r="D514" s="5">
        <f>SUBTOTAL(9, D509:D513)</f>
        <v>4949.25</v>
      </c>
      <c r="E514" s="5">
        <f>SUBTOTAL(9, E509:E513)</f>
        <v>1545.29</v>
      </c>
      <c r="F514" s="5">
        <f>SUBTOTAL(9, F509:F513)</f>
        <v>0</v>
      </c>
      <c r="G514" s="5">
        <f>SUBTOTAL(9, G509:G513)</f>
        <v>0</v>
      </c>
      <c r="H514" s="5">
        <f>SUBTOTAL(9, H509:H513)</f>
        <v>6494.54</v>
      </c>
      <c r="I514" s="7"/>
      <c r="J514" s="9"/>
      <c r="K514" s="3" t="s">
        <v>16</v>
      </c>
      <c r="L514" s="3" t="s">
        <v>16</v>
      </c>
      <c r="M514" s="3" t="s">
        <v>63</v>
      </c>
    </row>
    <row r="515" spans="1:13" customFormat="1" ht="15" x14ac:dyDescent="0.25">
      <c r="D515" s="14"/>
      <c r="E515" s="14"/>
      <c r="F515" s="14"/>
      <c r="G515" s="14"/>
      <c r="H515" s="14"/>
    </row>
    <row r="516" spans="1:13" x14ac:dyDescent="0.2">
      <c r="A516" s="2" t="s">
        <v>456</v>
      </c>
      <c r="B516" s="2" t="s">
        <v>457</v>
      </c>
      <c r="C516" s="2" t="s">
        <v>458</v>
      </c>
      <c r="D516" s="6">
        <v>258.41000000000003</v>
      </c>
      <c r="H516" s="6">
        <v>258.41000000000003</v>
      </c>
      <c r="I516" s="8">
        <v>45162</v>
      </c>
      <c r="J516" s="10">
        <v>4</v>
      </c>
      <c r="K516" s="2" t="s">
        <v>16</v>
      </c>
      <c r="L516" s="2" t="s">
        <v>36</v>
      </c>
      <c r="M516" s="2" t="s">
        <v>41</v>
      </c>
    </row>
    <row r="517" spans="1:13" customFormat="1" ht="15" x14ac:dyDescent="0.25">
      <c r="D517" s="14"/>
      <c r="E517" s="14"/>
      <c r="F517" s="14"/>
      <c r="G517" s="14"/>
      <c r="H517" s="14"/>
    </row>
    <row r="518" spans="1:13" s="4" customFormat="1" x14ac:dyDescent="0.2">
      <c r="A518" s="3" t="s">
        <v>456</v>
      </c>
      <c r="B518" s="3" t="s">
        <v>457</v>
      </c>
      <c r="C518" s="3" t="s">
        <v>16</v>
      </c>
      <c r="D518" s="5">
        <f>SUBTOTAL(9, D516:D517)</f>
        <v>258.41000000000003</v>
      </c>
      <c r="E518" s="5">
        <f>SUBTOTAL(9, E516:E517)</f>
        <v>0</v>
      </c>
      <c r="F518" s="5">
        <f>SUBTOTAL(9, F516:F517)</f>
        <v>0</v>
      </c>
      <c r="G518" s="5">
        <f>SUBTOTAL(9, G516:G517)</f>
        <v>0</v>
      </c>
      <c r="H518" s="5">
        <f>SUBTOTAL(9, H516:H517)</f>
        <v>258.41000000000003</v>
      </c>
      <c r="I518" s="7"/>
      <c r="J518" s="9"/>
      <c r="K518" s="3" t="s">
        <v>16</v>
      </c>
      <c r="L518" s="3" t="s">
        <v>16</v>
      </c>
      <c r="M518" s="3" t="s">
        <v>41</v>
      </c>
    </row>
    <row r="519" spans="1:13" customFormat="1" ht="15" x14ac:dyDescent="0.25">
      <c r="D519" s="14"/>
      <c r="E519" s="14"/>
      <c r="F519" s="14"/>
      <c r="G519" s="14"/>
      <c r="H519" s="14"/>
    </row>
    <row r="520" spans="1:13" x14ac:dyDescent="0.2">
      <c r="A520" s="2" t="s">
        <v>459</v>
      </c>
      <c r="B520" s="2" t="s">
        <v>460</v>
      </c>
      <c r="C520" s="2" t="s">
        <v>461</v>
      </c>
      <c r="D520" s="6">
        <v>72</v>
      </c>
      <c r="H520" s="6">
        <v>72</v>
      </c>
      <c r="I520" s="8">
        <v>45166</v>
      </c>
      <c r="K520" s="2" t="s">
        <v>16</v>
      </c>
      <c r="L520" s="2" t="s">
        <v>25</v>
      </c>
      <c r="M520" s="2" t="s">
        <v>18</v>
      </c>
    </row>
    <row r="521" spans="1:13" customFormat="1" ht="15" x14ac:dyDescent="0.25">
      <c r="D521" s="14"/>
      <c r="E521" s="14"/>
      <c r="F521" s="14"/>
      <c r="G521" s="14"/>
      <c r="H521" s="14"/>
    </row>
    <row r="522" spans="1:13" s="4" customFormat="1" x14ac:dyDescent="0.2">
      <c r="A522" s="3" t="s">
        <v>459</v>
      </c>
      <c r="B522" s="3" t="s">
        <v>460</v>
      </c>
      <c r="C522" s="3" t="s">
        <v>16</v>
      </c>
      <c r="D522" s="5">
        <f>SUBTOTAL(9, D520:D521)</f>
        <v>72</v>
      </c>
      <c r="E522" s="5">
        <f>SUBTOTAL(9, E520:E521)</f>
        <v>0</v>
      </c>
      <c r="F522" s="5">
        <f>SUBTOTAL(9, F520:F521)</f>
        <v>0</v>
      </c>
      <c r="G522" s="5">
        <f>SUBTOTAL(9, G520:G521)</f>
        <v>0</v>
      </c>
      <c r="H522" s="5">
        <f>SUBTOTAL(9, H520:H521)</f>
        <v>72</v>
      </c>
      <c r="I522" s="7"/>
      <c r="J522" s="9"/>
      <c r="K522" s="3" t="s">
        <v>16</v>
      </c>
      <c r="L522" s="3" t="s">
        <v>16</v>
      </c>
      <c r="M522" s="3" t="s">
        <v>18</v>
      </c>
    </row>
    <row r="523" spans="1:13" customFormat="1" ht="15" x14ac:dyDescent="0.25">
      <c r="D523" s="14"/>
      <c r="E523" s="14"/>
      <c r="F523" s="14"/>
      <c r="G523" s="14"/>
      <c r="H523" s="14"/>
    </row>
    <row r="524" spans="1:13" x14ac:dyDescent="0.2">
      <c r="A524" s="2" t="s">
        <v>462</v>
      </c>
      <c r="B524" s="2" t="s">
        <v>463</v>
      </c>
      <c r="C524" s="2" t="s">
        <v>464</v>
      </c>
      <c r="D524" s="6">
        <v>3780.34</v>
      </c>
      <c r="H524" s="6">
        <v>3780.34</v>
      </c>
      <c r="I524" s="8">
        <v>45163</v>
      </c>
      <c r="J524" s="10">
        <v>3</v>
      </c>
      <c r="K524" s="2" t="s">
        <v>16</v>
      </c>
      <c r="L524" s="2" t="s">
        <v>25</v>
      </c>
      <c r="M524" s="2" t="s">
        <v>237</v>
      </c>
    </row>
    <row r="525" spans="1:13" customFormat="1" ht="15" x14ac:dyDescent="0.25">
      <c r="D525" s="14"/>
      <c r="E525" s="14"/>
      <c r="F525" s="14"/>
      <c r="G525" s="14"/>
      <c r="H525" s="14"/>
    </row>
    <row r="526" spans="1:13" s="4" customFormat="1" x14ac:dyDescent="0.2">
      <c r="A526" s="3" t="s">
        <v>462</v>
      </c>
      <c r="B526" s="3" t="s">
        <v>463</v>
      </c>
      <c r="C526" s="3" t="s">
        <v>16</v>
      </c>
      <c r="D526" s="5">
        <f>SUBTOTAL(9, D524:D525)</f>
        <v>3780.34</v>
      </c>
      <c r="E526" s="5">
        <f>SUBTOTAL(9, E524:E525)</f>
        <v>0</v>
      </c>
      <c r="F526" s="5">
        <f>SUBTOTAL(9, F524:F525)</f>
        <v>0</v>
      </c>
      <c r="G526" s="5">
        <f>SUBTOTAL(9, G524:G525)</f>
        <v>0</v>
      </c>
      <c r="H526" s="5">
        <f>SUBTOTAL(9, H524:H525)</f>
        <v>3780.34</v>
      </c>
      <c r="I526" s="7"/>
      <c r="J526" s="9"/>
      <c r="K526" s="3" t="s">
        <v>16</v>
      </c>
      <c r="L526" s="3" t="s">
        <v>16</v>
      </c>
      <c r="M526" s="3" t="s">
        <v>237</v>
      </c>
    </row>
    <row r="527" spans="1:13" customFormat="1" ht="15" x14ac:dyDescent="0.25">
      <c r="D527" s="14"/>
      <c r="E527" s="14"/>
      <c r="F527" s="14"/>
      <c r="G527" s="14"/>
      <c r="H527" s="14"/>
    </row>
    <row r="528" spans="1:13" x14ac:dyDescent="0.2">
      <c r="A528" s="2" t="s">
        <v>465</v>
      </c>
      <c r="B528" s="2" t="s">
        <v>466</v>
      </c>
      <c r="C528" s="2" t="s">
        <v>467</v>
      </c>
      <c r="D528" s="6">
        <v>929.78</v>
      </c>
      <c r="H528" s="6">
        <v>929.78</v>
      </c>
      <c r="I528" s="8">
        <v>45159</v>
      </c>
      <c r="J528" s="10">
        <v>7</v>
      </c>
      <c r="K528" s="2" t="s">
        <v>16</v>
      </c>
      <c r="L528" s="2" t="s">
        <v>25</v>
      </c>
      <c r="M528" s="2" t="s">
        <v>237</v>
      </c>
    </row>
    <row r="529" spans="1:13" customFormat="1" ht="15" x14ac:dyDescent="0.25">
      <c r="D529" s="14"/>
      <c r="E529" s="14"/>
      <c r="F529" s="14"/>
      <c r="G529" s="14"/>
      <c r="H529" s="14"/>
    </row>
    <row r="530" spans="1:13" s="4" customFormat="1" x14ac:dyDescent="0.2">
      <c r="A530" s="3" t="s">
        <v>465</v>
      </c>
      <c r="B530" s="3" t="s">
        <v>466</v>
      </c>
      <c r="C530" s="3" t="s">
        <v>16</v>
      </c>
      <c r="D530" s="5">
        <f>SUBTOTAL(9, D528:D529)</f>
        <v>929.78</v>
      </c>
      <c r="E530" s="5">
        <f>SUBTOTAL(9, E528:E529)</f>
        <v>0</v>
      </c>
      <c r="F530" s="5">
        <f>SUBTOTAL(9, F528:F529)</f>
        <v>0</v>
      </c>
      <c r="G530" s="5">
        <f>SUBTOTAL(9, G528:G529)</f>
        <v>0</v>
      </c>
      <c r="H530" s="5">
        <f>SUBTOTAL(9, H528:H529)</f>
        <v>929.78</v>
      </c>
      <c r="I530" s="7"/>
      <c r="J530" s="9"/>
      <c r="K530" s="3" t="s">
        <v>16</v>
      </c>
      <c r="L530" s="3" t="s">
        <v>16</v>
      </c>
      <c r="M530" s="3" t="s">
        <v>237</v>
      </c>
    </row>
    <row r="531" spans="1:13" customFormat="1" ht="15" x14ac:dyDescent="0.25">
      <c r="D531" s="14"/>
      <c r="E531" s="14"/>
      <c r="F531" s="14"/>
      <c r="G531" s="14"/>
      <c r="H531" s="14"/>
    </row>
    <row r="532" spans="1:13" x14ac:dyDescent="0.2">
      <c r="A532" s="2" t="s">
        <v>468</v>
      </c>
      <c r="B532" s="2" t="s">
        <v>469</v>
      </c>
      <c r="C532" s="2" t="s">
        <v>470</v>
      </c>
      <c r="G532" s="6">
        <v>1666.49</v>
      </c>
      <c r="H532" s="6">
        <v>1666.49</v>
      </c>
      <c r="I532" s="8">
        <v>45054</v>
      </c>
      <c r="J532" s="10">
        <v>112</v>
      </c>
      <c r="K532" s="2" t="s">
        <v>471</v>
      </c>
      <c r="L532" s="2" t="s">
        <v>36</v>
      </c>
      <c r="M532" s="2" t="s">
        <v>471</v>
      </c>
    </row>
    <row r="533" spans="1:13" x14ac:dyDescent="0.2">
      <c r="A533" s="2" t="s">
        <v>468</v>
      </c>
      <c r="B533" s="2" t="s">
        <v>469</v>
      </c>
      <c r="C533" s="2" t="s">
        <v>472</v>
      </c>
      <c r="G533" s="6">
        <v>2754.32</v>
      </c>
      <c r="H533" s="6">
        <v>2754.32</v>
      </c>
      <c r="I533" s="8">
        <v>45061</v>
      </c>
      <c r="J533" s="10">
        <v>105</v>
      </c>
      <c r="K533" s="2" t="s">
        <v>471</v>
      </c>
      <c r="L533" s="2" t="s">
        <v>36</v>
      </c>
      <c r="M533" s="2" t="s">
        <v>471</v>
      </c>
    </row>
    <row r="534" spans="1:13" customFormat="1" ht="15" x14ac:dyDescent="0.25">
      <c r="D534" s="14"/>
      <c r="E534" s="14"/>
      <c r="F534" s="14"/>
      <c r="G534" s="14"/>
      <c r="H534" s="14"/>
    </row>
    <row r="535" spans="1:13" s="4" customFormat="1" x14ac:dyDescent="0.2">
      <c r="A535" s="3" t="s">
        <v>468</v>
      </c>
      <c r="B535" s="3" t="s">
        <v>469</v>
      </c>
      <c r="C535" s="3" t="s">
        <v>16</v>
      </c>
      <c r="D535" s="5">
        <f>SUBTOTAL(9, D532:D534)</f>
        <v>0</v>
      </c>
      <c r="E535" s="5">
        <f>SUBTOTAL(9, E532:E534)</f>
        <v>0</v>
      </c>
      <c r="F535" s="5">
        <f>SUBTOTAL(9, F532:F534)</f>
        <v>0</v>
      </c>
      <c r="G535" s="5">
        <f>SUBTOTAL(9, G532:G534)</f>
        <v>4420.8100000000004</v>
      </c>
      <c r="H535" s="5">
        <f>SUBTOTAL(9, H532:H534)</f>
        <v>4420.8100000000004</v>
      </c>
      <c r="I535" s="7"/>
      <c r="J535" s="9"/>
      <c r="K535" s="3" t="s">
        <v>16</v>
      </c>
      <c r="L535" s="3" t="s">
        <v>16</v>
      </c>
      <c r="M535" s="3" t="s">
        <v>471</v>
      </c>
    </row>
    <row r="536" spans="1:13" customFormat="1" ht="15" x14ac:dyDescent="0.25">
      <c r="D536" s="14"/>
      <c r="E536" s="14"/>
      <c r="F536" s="14"/>
      <c r="G536" s="14"/>
      <c r="H536" s="14"/>
    </row>
    <row r="537" spans="1:13" x14ac:dyDescent="0.2">
      <c r="A537" s="2" t="s">
        <v>473</v>
      </c>
      <c r="B537" s="2" t="s">
        <v>474</v>
      </c>
      <c r="C537" s="2" t="s">
        <v>475</v>
      </c>
      <c r="F537" s="6">
        <v>3895.29</v>
      </c>
      <c r="H537" s="6">
        <v>3895.29</v>
      </c>
      <c r="I537" s="8">
        <v>45131</v>
      </c>
      <c r="J537" s="10">
        <v>35</v>
      </c>
      <c r="K537" s="2" t="s">
        <v>16</v>
      </c>
      <c r="L537" s="2" t="s">
        <v>36</v>
      </c>
      <c r="M537" s="2" t="s">
        <v>63</v>
      </c>
    </row>
    <row r="538" spans="1:13" customFormat="1" ht="15" x14ac:dyDescent="0.25">
      <c r="D538" s="14"/>
      <c r="E538" s="14"/>
      <c r="F538" s="14"/>
      <c r="G538" s="14"/>
      <c r="H538" s="14"/>
    </row>
    <row r="539" spans="1:13" s="4" customFormat="1" x14ac:dyDescent="0.2">
      <c r="A539" s="3" t="s">
        <v>473</v>
      </c>
      <c r="B539" s="3" t="s">
        <v>474</v>
      </c>
      <c r="C539" s="3" t="s">
        <v>16</v>
      </c>
      <c r="D539" s="5">
        <f>SUBTOTAL(9, D537:D538)</f>
        <v>0</v>
      </c>
      <c r="E539" s="5">
        <f>SUBTOTAL(9, E537:E538)</f>
        <v>0</v>
      </c>
      <c r="F539" s="5">
        <f>SUBTOTAL(9, F537:F538)</f>
        <v>3895.29</v>
      </c>
      <c r="G539" s="5">
        <f>SUBTOTAL(9, G537:G538)</f>
        <v>0</v>
      </c>
      <c r="H539" s="5">
        <f>SUBTOTAL(9, H537:H538)</f>
        <v>3895.29</v>
      </c>
      <c r="I539" s="7"/>
      <c r="J539" s="9"/>
      <c r="K539" s="3" t="s">
        <v>16</v>
      </c>
      <c r="L539" s="3" t="s">
        <v>16</v>
      </c>
      <c r="M539" s="3" t="s">
        <v>63</v>
      </c>
    </row>
    <row r="540" spans="1:13" customFormat="1" ht="15" x14ac:dyDescent="0.25">
      <c r="D540" s="14"/>
      <c r="E540" s="14"/>
      <c r="F540" s="14"/>
      <c r="G540" s="14"/>
      <c r="H540" s="14"/>
    </row>
    <row r="541" spans="1:13" x14ac:dyDescent="0.2">
      <c r="A541" s="2" t="s">
        <v>476</v>
      </c>
      <c r="B541" s="2" t="s">
        <v>477</v>
      </c>
      <c r="C541" s="2" t="s">
        <v>478</v>
      </c>
      <c r="E541" s="6">
        <v>350.53</v>
      </c>
      <c r="H541" s="6">
        <v>350.53</v>
      </c>
      <c r="I541" s="8">
        <v>45145</v>
      </c>
      <c r="J541" s="10">
        <v>21</v>
      </c>
      <c r="K541" s="2" t="s">
        <v>16</v>
      </c>
      <c r="L541" s="2" t="s">
        <v>36</v>
      </c>
      <c r="M541" s="2" t="s">
        <v>63</v>
      </c>
    </row>
    <row r="542" spans="1:13" customFormat="1" ht="15" x14ac:dyDescent="0.25">
      <c r="D542" s="14"/>
      <c r="E542" s="14"/>
      <c r="F542" s="14"/>
      <c r="G542" s="14"/>
      <c r="H542" s="14"/>
    </row>
    <row r="543" spans="1:13" s="4" customFormat="1" x14ac:dyDescent="0.2">
      <c r="A543" s="3" t="s">
        <v>476</v>
      </c>
      <c r="B543" s="3" t="s">
        <v>477</v>
      </c>
      <c r="C543" s="3" t="s">
        <v>16</v>
      </c>
      <c r="D543" s="5">
        <f>SUBTOTAL(9, D541:D542)</f>
        <v>0</v>
      </c>
      <c r="E543" s="5">
        <f>SUBTOTAL(9, E541:E542)</f>
        <v>350.53</v>
      </c>
      <c r="F543" s="5">
        <f>SUBTOTAL(9, F541:F542)</f>
        <v>0</v>
      </c>
      <c r="G543" s="5">
        <f>SUBTOTAL(9, G541:G542)</f>
        <v>0</v>
      </c>
      <c r="H543" s="5">
        <f>SUBTOTAL(9, H541:H542)</f>
        <v>350.53</v>
      </c>
      <c r="I543" s="7"/>
      <c r="J543" s="9"/>
      <c r="K543" s="3" t="s">
        <v>16</v>
      </c>
      <c r="L543" s="3" t="s">
        <v>16</v>
      </c>
      <c r="M543" s="3" t="s">
        <v>63</v>
      </c>
    </row>
    <row r="544" spans="1:13" customFormat="1" ht="15" x14ac:dyDescent="0.25">
      <c r="D544" s="14"/>
      <c r="E544" s="14"/>
      <c r="F544" s="14"/>
      <c r="G544" s="14"/>
      <c r="H544" s="14"/>
    </row>
    <row r="545" spans="1:13" x14ac:dyDescent="0.2">
      <c r="A545" s="2" t="s">
        <v>479</v>
      </c>
      <c r="B545" s="2" t="s">
        <v>480</v>
      </c>
      <c r="C545" s="2" t="s">
        <v>481</v>
      </c>
      <c r="D545" s="6">
        <v>4.1900000000000004</v>
      </c>
      <c r="H545" s="6">
        <v>4.1900000000000004</v>
      </c>
      <c r="I545" s="8">
        <v>45153</v>
      </c>
      <c r="J545" s="10">
        <v>13</v>
      </c>
      <c r="K545" s="2" t="s">
        <v>16</v>
      </c>
      <c r="L545" s="2" t="s">
        <v>25</v>
      </c>
      <c r="M545" s="2" t="s">
        <v>63</v>
      </c>
    </row>
    <row r="546" spans="1:13" x14ac:dyDescent="0.2">
      <c r="A546" s="2" t="s">
        <v>479</v>
      </c>
      <c r="B546" s="2" t="s">
        <v>480</v>
      </c>
      <c r="C546" s="2" t="s">
        <v>482</v>
      </c>
      <c r="D546" s="6">
        <v>12.56</v>
      </c>
      <c r="H546" s="6">
        <v>12.56</v>
      </c>
      <c r="I546" s="8">
        <v>45153</v>
      </c>
      <c r="J546" s="10">
        <v>13</v>
      </c>
      <c r="K546" s="2" t="s">
        <v>16</v>
      </c>
      <c r="L546" s="2" t="s">
        <v>25</v>
      </c>
      <c r="M546" s="2" t="s">
        <v>63</v>
      </c>
    </row>
    <row r="547" spans="1:13" customFormat="1" ht="15" x14ac:dyDescent="0.25">
      <c r="D547" s="14"/>
      <c r="E547" s="14"/>
      <c r="F547" s="14"/>
      <c r="G547" s="14"/>
      <c r="H547" s="14"/>
    </row>
    <row r="548" spans="1:13" s="4" customFormat="1" x14ac:dyDescent="0.2">
      <c r="A548" s="3" t="s">
        <v>479</v>
      </c>
      <c r="B548" s="3" t="s">
        <v>480</v>
      </c>
      <c r="C548" s="3" t="s">
        <v>16</v>
      </c>
      <c r="D548" s="5">
        <f>SUBTOTAL(9, D545:D547)</f>
        <v>16.75</v>
      </c>
      <c r="E548" s="5">
        <f>SUBTOTAL(9, E545:E547)</f>
        <v>0</v>
      </c>
      <c r="F548" s="5">
        <f>SUBTOTAL(9, F545:F547)</f>
        <v>0</v>
      </c>
      <c r="G548" s="5">
        <f>SUBTOTAL(9, G545:G547)</f>
        <v>0</v>
      </c>
      <c r="H548" s="5">
        <f>SUBTOTAL(9, H545:H547)</f>
        <v>16.75</v>
      </c>
      <c r="I548" s="7"/>
      <c r="J548" s="9"/>
      <c r="K548" s="3" t="s">
        <v>16</v>
      </c>
      <c r="L548" s="3" t="s">
        <v>16</v>
      </c>
      <c r="M548" s="3" t="s">
        <v>63</v>
      </c>
    </row>
    <row r="549" spans="1:13" customFormat="1" ht="15" x14ac:dyDescent="0.25">
      <c r="D549" s="14"/>
      <c r="E549" s="14"/>
      <c r="F549" s="14"/>
      <c r="G549" s="14"/>
      <c r="H549" s="14"/>
    </row>
    <row r="550" spans="1:13" x14ac:dyDescent="0.2">
      <c r="A550" s="2" t="s">
        <v>483</v>
      </c>
      <c r="B550" s="2" t="s">
        <v>484</v>
      </c>
      <c r="C550" s="2" t="s">
        <v>485</v>
      </c>
      <c r="E550" s="6">
        <v>700</v>
      </c>
      <c r="H550" s="6">
        <v>700</v>
      </c>
      <c r="I550" s="8">
        <v>45138</v>
      </c>
      <c r="J550" s="10">
        <v>28</v>
      </c>
      <c r="K550" s="2" t="s">
        <v>16</v>
      </c>
      <c r="L550" s="2" t="s">
        <v>17</v>
      </c>
      <c r="M550" s="2" t="s">
        <v>186</v>
      </c>
    </row>
    <row r="551" spans="1:13" x14ac:dyDescent="0.2">
      <c r="A551" s="2" t="s">
        <v>483</v>
      </c>
      <c r="B551" s="2" t="s">
        <v>484</v>
      </c>
      <c r="C551" s="2" t="s">
        <v>486</v>
      </c>
      <c r="D551" s="6">
        <v>1799.12</v>
      </c>
      <c r="H551" s="6">
        <v>1799.12</v>
      </c>
      <c r="I551" s="8">
        <v>45159</v>
      </c>
      <c r="J551" s="10">
        <v>7</v>
      </c>
      <c r="K551" s="2" t="s">
        <v>16</v>
      </c>
      <c r="L551" s="2" t="s">
        <v>17</v>
      </c>
      <c r="M551" s="2" t="s">
        <v>186</v>
      </c>
    </row>
    <row r="552" spans="1:13" customFormat="1" ht="15" x14ac:dyDescent="0.25">
      <c r="D552" s="14"/>
      <c r="E552" s="14"/>
      <c r="F552" s="14"/>
      <c r="G552" s="14"/>
      <c r="H552" s="14"/>
    </row>
    <row r="553" spans="1:13" s="4" customFormat="1" x14ac:dyDescent="0.2">
      <c r="A553" s="3" t="s">
        <v>483</v>
      </c>
      <c r="B553" s="3" t="s">
        <v>484</v>
      </c>
      <c r="C553" s="3" t="s">
        <v>16</v>
      </c>
      <c r="D553" s="5">
        <f>SUBTOTAL(9, D550:D552)</f>
        <v>1799.12</v>
      </c>
      <c r="E553" s="5">
        <f>SUBTOTAL(9, E550:E552)</f>
        <v>700</v>
      </c>
      <c r="F553" s="5">
        <f>SUBTOTAL(9, F550:F552)</f>
        <v>0</v>
      </c>
      <c r="G553" s="5">
        <f>SUBTOTAL(9, G550:G552)</f>
        <v>0</v>
      </c>
      <c r="H553" s="5">
        <f>SUBTOTAL(9, H550:H552)</f>
        <v>2499.12</v>
      </c>
      <c r="I553" s="7"/>
      <c r="J553" s="9"/>
      <c r="K553" s="3" t="s">
        <v>16</v>
      </c>
      <c r="L553" s="3" t="s">
        <v>16</v>
      </c>
      <c r="M553" s="3" t="s">
        <v>186</v>
      </c>
    </row>
    <row r="554" spans="1:13" customFormat="1" ht="15" x14ac:dyDescent="0.25">
      <c r="D554" s="14"/>
      <c r="E554" s="14"/>
      <c r="F554" s="14"/>
      <c r="G554" s="14"/>
      <c r="H554" s="14"/>
    </row>
    <row r="555" spans="1:13" x14ac:dyDescent="0.2">
      <c r="A555" s="2" t="s">
        <v>487</v>
      </c>
      <c r="B555" s="2" t="s">
        <v>488</v>
      </c>
      <c r="C555" s="2" t="s">
        <v>489</v>
      </c>
      <c r="E555" s="6">
        <v>1332.8</v>
      </c>
      <c r="H555" s="6">
        <v>1332.8</v>
      </c>
      <c r="I555" s="8">
        <v>45138</v>
      </c>
      <c r="J555" s="10">
        <v>28</v>
      </c>
      <c r="K555" s="2" t="s">
        <v>16</v>
      </c>
      <c r="L555" s="2" t="s">
        <v>17</v>
      </c>
      <c r="M555" s="2" t="s">
        <v>98</v>
      </c>
    </row>
    <row r="556" spans="1:13" x14ac:dyDescent="0.2">
      <c r="A556" s="2" t="s">
        <v>487</v>
      </c>
      <c r="B556" s="2" t="s">
        <v>488</v>
      </c>
      <c r="C556" s="2" t="s">
        <v>490</v>
      </c>
      <c r="D556" s="6">
        <v>133.28</v>
      </c>
      <c r="H556" s="6">
        <v>133.28</v>
      </c>
      <c r="I556" s="8">
        <v>45162</v>
      </c>
      <c r="J556" s="10">
        <v>4</v>
      </c>
      <c r="K556" s="2" t="s">
        <v>16</v>
      </c>
      <c r="L556" s="2" t="s">
        <v>17</v>
      </c>
      <c r="M556" s="2" t="s">
        <v>98</v>
      </c>
    </row>
    <row r="557" spans="1:13" customFormat="1" ht="15" x14ac:dyDescent="0.25">
      <c r="D557" s="14"/>
      <c r="E557" s="14"/>
      <c r="F557" s="14"/>
      <c r="G557" s="14"/>
      <c r="H557" s="14"/>
    </row>
    <row r="558" spans="1:13" s="4" customFormat="1" x14ac:dyDescent="0.2">
      <c r="A558" s="3" t="s">
        <v>487</v>
      </c>
      <c r="B558" s="3" t="s">
        <v>488</v>
      </c>
      <c r="C558" s="3" t="s">
        <v>16</v>
      </c>
      <c r="D558" s="5">
        <f>SUBTOTAL(9, D555:D557)</f>
        <v>133.28</v>
      </c>
      <c r="E558" s="5">
        <f>SUBTOTAL(9, E555:E557)</f>
        <v>1332.8</v>
      </c>
      <c r="F558" s="5">
        <f>SUBTOTAL(9, F555:F557)</f>
        <v>0</v>
      </c>
      <c r="G558" s="5">
        <f>SUBTOTAL(9, G555:G557)</f>
        <v>0</v>
      </c>
      <c r="H558" s="5">
        <f>SUBTOTAL(9, H555:H557)</f>
        <v>1466.08</v>
      </c>
      <c r="I558" s="7"/>
      <c r="J558" s="9"/>
      <c r="K558" s="3" t="s">
        <v>16</v>
      </c>
      <c r="L558" s="3" t="s">
        <v>16</v>
      </c>
      <c r="M558" s="3" t="s">
        <v>98</v>
      </c>
    </row>
    <row r="559" spans="1:13" customFormat="1" ht="15" x14ac:dyDescent="0.25">
      <c r="D559" s="14"/>
      <c r="E559" s="14"/>
      <c r="F559" s="14"/>
      <c r="G559" s="14"/>
      <c r="H559" s="14"/>
    </row>
    <row r="560" spans="1:13" x14ac:dyDescent="0.2">
      <c r="A560" s="2" t="s">
        <v>491</v>
      </c>
      <c r="B560" s="2" t="s">
        <v>492</v>
      </c>
      <c r="C560" s="2" t="s">
        <v>493</v>
      </c>
      <c r="D560" s="6">
        <v>950.19</v>
      </c>
      <c r="H560" s="6">
        <v>950.19</v>
      </c>
      <c r="I560" s="8">
        <v>45161</v>
      </c>
      <c r="J560" s="10">
        <v>5</v>
      </c>
      <c r="K560" s="2" t="s">
        <v>16</v>
      </c>
      <c r="L560" s="2" t="s">
        <v>36</v>
      </c>
      <c r="M560" s="2" t="s">
        <v>59</v>
      </c>
    </row>
    <row r="561" spans="1:13" customFormat="1" ht="15" x14ac:dyDescent="0.25">
      <c r="D561" s="14"/>
      <c r="E561" s="14"/>
      <c r="F561" s="14"/>
      <c r="G561" s="14"/>
      <c r="H561" s="14"/>
    </row>
    <row r="562" spans="1:13" s="4" customFormat="1" x14ac:dyDescent="0.2">
      <c r="A562" s="3" t="s">
        <v>491</v>
      </c>
      <c r="B562" s="3" t="s">
        <v>492</v>
      </c>
      <c r="C562" s="3" t="s">
        <v>16</v>
      </c>
      <c r="D562" s="5">
        <f>SUBTOTAL(9, D560:D561)</f>
        <v>950.19</v>
      </c>
      <c r="E562" s="5">
        <f>SUBTOTAL(9, E560:E561)</f>
        <v>0</v>
      </c>
      <c r="F562" s="5">
        <f>SUBTOTAL(9, F560:F561)</f>
        <v>0</v>
      </c>
      <c r="G562" s="5">
        <f>SUBTOTAL(9, G560:G561)</f>
        <v>0</v>
      </c>
      <c r="H562" s="5">
        <f>SUBTOTAL(9, H560:H561)</f>
        <v>950.19</v>
      </c>
      <c r="I562" s="7"/>
      <c r="J562" s="9"/>
      <c r="K562" s="3" t="s">
        <v>16</v>
      </c>
      <c r="L562" s="3" t="s">
        <v>16</v>
      </c>
      <c r="M562" s="3" t="s">
        <v>59</v>
      </c>
    </row>
    <row r="563" spans="1:13" customFormat="1" ht="15" x14ac:dyDescent="0.25">
      <c r="D563" s="14"/>
      <c r="E563" s="14"/>
      <c r="F563" s="14"/>
      <c r="G563" s="14"/>
      <c r="H563" s="14"/>
    </row>
    <row r="564" spans="1:13" x14ac:dyDescent="0.2">
      <c r="A564" s="2" t="s">
        <v>494</v>
      </c>
      <c r="B564" s="2" t="s">
        <v>495</v>
      </c>
      <c r="C564" s="2" t="s">
        <v>496</v>
      </c>
      <c r="D564" s="6">
        <v>3222.17</v>
      </c>
      <c r="H564" s="6">
        <v>3222.17</v>
      </c>
      <c r="I564" s="8">
        <v>45155</v>
      </c>
      <c r="J564" s="10">
        <v>11</v>
      </c>
      <c r="K564" s="2" t="s">
        <v>16</v>
      </c>
      <c r="L564" s="2" t="s">
        <v>25</v>
      </c>
      <c r="M564" s="2" t="s">
        <v>59</v>
      </c>
    </row>
    <row r="565" spans="1:13" customFormat="1" ht="15" x14ac:dyDescent="0.25">
      <c r="D565" s="14"/>
      <c r="E565" s="14"/>
      <c r="F565" s="14"/>
      <c r="G565" s="14"/>
      <c r="H565" s="14"/>
    </row>
    <row r="566" spans="1:13" s="4" customFormat="1" x14ac:dyDescent="0.2">
      <c r="A566" s="3" t="s">
        <v>494</v>
      </c>
      <c r="B566" s="3" t="s">
        <v>495</v>
      </c>
      <c r="C566" s="3" t="s">
        <v>16</v>
      </c>
      <c r="D566" s="5">
        <f>SUBTOTAL(9, D564:D565)</f>
        <v>3222.17</v>
      </c>
      <c r="E566" s="5">
        <f>SUBTOTAL(9, E564:E565)</f>
        <v>0</v>
      </c>
      <c r="F566" s="5">
        <f>SUBTOTAL(9, F564:F565)</f>
        <v>0</v>
      </c>
      <c r="G566" s="5">
        <f>SUBTOTAL(9, G564:G565)</f>
        <v>0</v>
      </c>
      <c r="H566" s="5">
        <f>SUBTOTAL(9, H564:H565)</f>
        <v>3222.17</v>
      </c>
      <c r="I566" s="7"/>
      <c r="J566" s="9"/>
      <c r="K566" s="3" t="s">
        <v>16</v>
      </c>
      <c r="L566" s="3" t="s">
        <v>16</v>
      </c>
      <c r="M566" s="3" t="s">
        <v>59</v>
      </c>
    </row>
    <row r="567" spans="1:13" customFormat="1" ht="15" x14ac:dyDescent="0.25">
      <c r="D567" s="14"/>
      <c r="E567" s="14"/>
      <c r="F567" s="14"/>
      <c r="G567" s="14"/>
      <c r="H567" s="14"/>
    </row>
    <row r="568" spans="1:13" x14ac:dyDescent="0.2">
      <c r="A568" s="2" t="s">
        <v>497</v>
      </c>
      <c r="B568" s="2" t="s">
        <v>498</v>
      </c>
      <c r="C568" s="2" t="s">
        <v>499</v>
      </c>
      <c r="D568" s="6">
        <v>441.59</v>
      </c>
      <c r="H568" s="6">
        <v>441.59</v>
      </c>
      <c r="I568" s="8">
        <v>45161</v>
      </c>
      <c r="J568" s="10">
        <v>5</v>
      </c>
      <c r="K568" s="2" t="s">
        <v>16</v>
      </c>
      <c r="L568" s="2" t="s">
        <v>36</v>
      </c>
      <c r="M568" s="2" t="s">
        <v>59</v>
      </c>
    </row>
    <row r="569" spans="1:13" customFormat="1" ht="15" x14ac:dyDescent="0.25">
      <c r="D569" s="14"/>
      <c r="E569" s="14"/>
      <c r="F569" s="14"/>
      <c r="G569" s="14"/>
      <c r="H569" s="14"/>
    </row>
    <row r="570" spans="1:13" s="4" customFormat="1" x14ac:dyDescent="0.2">
      <c r="A570" s="3" t="s">
        <v>497</v>
      </c>
      <c r="B570" s="3" t="s">
        <v>498</v>
      </c>
      <c r="C570" s="3" t="s">
        <v>16</v>
      </c>
      <c r="D570" s="5">
        <f>SUBTOTAL(9, D568:D569)</f>
        <v>441.59</v>
      </c>
      <c r="E570" s="5">
        <f>SUBTOTAL(9, E568:E569)</f>
        <v>0</v>
      </c>
      <c r="F570" s="5">
        <f>SUBTOTAL(9, F568:F569)</f>
        <v>0</v>
      </c>
      <c r="G570" s="5">
        <f>SUBTOTAL(9, G568:G569)</f>
        <v>0</v>
      </c>
      <c r="H570" s="5">
        <f>SUBTOTAL(9, H568:H569)</f>
        <v>441.59</v>
      </c>
      <c r="I570" s="7"/>
      <c r="J570" s="9"/>
      <c r="K570" s="3" t="s">
        <v>16</v>
      </c>
      <c r="L570" s="3" t="s">
        <v>16</v>
      </c>
      <c r="M570" s="3" t="s">
        <v>59</v>
      </c>
    </row>
    <row r="571" spans="1:13" customFormat="1" ht="15" x14ac:dyDescent="0.25">
      <c r="D571" s="14"/>
      <c r="E571" s="14"/>
      <c r="F571" s="14"/>
      <c r="G571" s="14"/>
      <c r="H571" s="14"/>
    </row>
    <row r="572" spans="1:13" x14ac:dyDescent="0.2">
      <c r="A572" s="2" t="s">
        <v>500</v>
      </c>
      <c r="B572" s="2" t="s">
        <v>501</v>
      </c>
      <c r="C572" s="2" t="s">
        <v>502</v>
      </c>
      <c r="D572" s="6">
        <v>2076.9699999999998</v>
      </c>
      <c r="H572" s="6">
        <v>2076.9699999999998</v>
      </c>
      <c r="I572" s="8">
        <v>45155</v>
      </c>
      <c r="J572" s="10">
        <v>11</v>
      </c>
      <c r="K572" s="2" t="s">
        <v>16</v>
      </c>
      <c r="L572" s="2" t="s">
        <v>36</v>
      </c>
      <c r="M572" s="2" t="s">
        <v>41</v>
      </c>
    </row>
    <row r="573" spans="1:13" x14ac:dyDescent="0.2">
      <c r="A573" s="2" t="s">
        <v>500</v>
      </c>
      <c r="B573" s="2" t="s">
        <v>501</v>
      </c>
      <c r="C573" s="2" t="s">
        <v>503</v>
      </c>
      <c r="D573" s="6">
        <v>1421.24</v>
      </c>
      <c r="H573" s="6">
        <v>1421.24</v>
      </c>
      <c r="I573" s="8">
        <v>45162</v>
      </c>
      <c r="J573" s="10">
        <v>4</v>
      </c>
      <c r="K573" s="2" t="s">
        <v>16</v>
      </c>
      <c r="L573" s="2" t="s">
        <v>36</v>
      </c>
      <c r="M573" s="2" t="s">
        <v>41</v>
      </c>
    </row>
    <row r="574" spans="1:13" customFormat="1" ht="15" x14ac:dyDescent="0.25">
      <c r="D574" s="14"/>
      <c r="E574" s="14"/>
      <c r="F574" s="14"/>
      <c r="G574" s="14"/>
      <c r="H574" s="14"/>
    </row>
    <row r="575" spans="1:13" s="4" customFormat="1" x14ac:dyDescent="0.2">
      <c r="A575" s="3" t="s">
        <v>500</v>
      </c>
      <c r="B575" s="3" t="s">
        <v>501</v>
      </c>
      <c r="C575" s="3" t="s">
        <v>16</v>
      </c>
      <c r="D575" s="5">
        <f>SUBTOTAL(9, D572:D574)</f>
        <v>3498.21</v>
      </c>
      <c r="E575" s="5">
        <f>SUBTOTAL(9, E572:E574)</f>
        <v>0</v>
      </c>
      <c r="F575" s="5">
        <f>SUBTOTAL(9, F572:F574)</f>
        <v>0</v>
      </c>
      <c r="G575" s="5">
        <f>SUBTOTAL(9, G572:G574)</f>
        <v>0</v>
      </c>
      <c r="H575" s="5">
        <f>SUBTOTAL(9, H572:H574)</f>
        <v>3498.21</v>
      </c>
      <c r="I575" s="7"/>
      <c r="J575" s="9"/>
      <c r="K575" s="3" t="s">
        <v>16</v>
      </c>
      <c r="L575" s="3" t="s">
        <v>16</v>
      </c>
      <c r="M575" s="3" t="s">
        <v>41</v>
      </c>
    </row>
    <row r="576" spans="1:13" customFormat="1" ht="15" x14ac:dyDescent="0.25">
      <c r="D576" s="14"/>
      <c r="E576" s="14"/>
      <c r="F576" s="14"/>
      <c r="G576" s="14"/>
      <c r="H576" s="14"/>
    </row>
    <row r="577" spans="1:13" x14ac:dyDescent="0.2">
      <c r="A577" s="2" t="s">
        <v>504</v>
      </c>
      <c r="B577" s="2" t="s">
        <v>505</v>
      </c>
      <c r="C577" s="2" t="s">
        <v>506</v>
      </c>
      <c r="D577" s="6">
        <v>1218.02</v>
      </c>
      <c r="H577" s="6">
        <v>1218.02</v>
      </c>
      <c r="I577" s="8">
        <v>45153</v>
      </c>
      <c r="J577" s="10">
        <v>13</v>
      </c>
      <c r="K577" s="2" t="s">
        <v>16</v>
      </c>
      <c r="L577" s="2" t="s">
        <v>36</v>
      </c>
      <c r="M577" s="2" t="s">
        <v>26</v>
      </c>
    </row>
    <row r="578" spans="1:13" customFormat="1" ht="15" x14ac:dyDescent="0.25">
      <c r="D578" s="14"/>
      <c r="E578" s="14"/>
      <c r="F578" s="14"/>
      <c r="G578" s="14"/>
      <c r="H578" s="14"/>
    </row>
    <row r="579" spans="1:13" s="4" customFormat="1" x14ac:dyDescent="0.2">
      <c r="A579" s="3" t="s">
        <v>504</v>
      </c>
      <c r="B579" s="3" t="s">
        <v>505</v>
      </c>
      <c r="C579" s="3" t="s">
        <v>16</v>
      </c>
      <c r="D579" s="5">
        <f>SUBTOTAL(9, D577:D578)</f>
        <v>1218.02</v>
      </c>
      <c r="E579" s="5">
        <f>SUBTOTAL(9, E577:E578)</f>
        <v>0</v>
      </c>
      <c r="F579" s="5">
        <f>SUBTOTAL(9, F577:F578)</f>
        <v>0</v>
      </c>
      <c r="G579" s="5">
        <f>SUBTOTAL(9, G577:G578)</f>
        <v>0</v>
      </c>
      <c r="H579" s="5">
        <f>SUBTOTAL(9, H577:H578)</f>
        <v>1218.02</v>
      </c>
      <c r="I579" s="7"/>
      <c r="J579" s="9"/>
      <c r="K579" s="3" t="s">
        <v>16</v>
      </c>
      <c r="L579" s="3" t="s">
        <v>16</v>
      </c>
      <c r="M579" s="3" t="s">
        <v>26</v>
      </c>
    </row>
    <row r="580" spans="1:13" customFormat="1" ht="15" x14ac:dyDescent="0.25">
      <c r="D580" s="14"/>
      <c r="E580" s="14"/>
      <c r="F580" s="14"/>
      <c r="G580" s="14"/>
      <c r="H580" s="14"/>
    </row>
    <row r="581" spans="1:13" x14ac:dyDescent="0.2">
      <c r="A581" s="2" t="s">
        <v>507</v>
      </c>
      <c r="B581" s="2" t="s">
        <v>508</v>
      </c>
      <c r="C581" s="2" t="s">
        <v>509</v>
      </c>
      <c r="E581" s="6">
        <v>1321.62</v>
      </c>
      <c r="H581" s="6">
        <v>1321.62</v>
      </c>
      <c r="I581" s="8">
        <v>45141</v>
      </c>
      <c r="J581" s="10">
        <v>25</v>
      </c>
      <c r="K581" s="2" t="s">
        <v>16</v>
      </c>
      <c r="L581" s="2" t="s">
        <v>17</v>
      </c>
      <c r="M581" s="2" t="s">
        <v>70</v>
      </c>
    </row>
    <row r="582" spans="1:13" customFormat="1" ht="15" x14ac:dyDescent="0.25">
      <c r="D582" s="14"/>
      <c r="E582" s="14"/>
      <c r="F582" s="14"/>
      <c r="G582" s="14"/>
      <c r="H582" s="14"/>
    </row>
    <row r="583" spans="1:13" s="4" customFormat="1" x14ac:dyDescent="0.2">
      <c r="A583" s="3" t="s">
        <v>507</v>
      </c>
      <c r="B583" s="3" t="s">
        <v>508</v>
      </c>
      <c r="C583" s="3" t="s">
        <v>16</v>
      </c>
      <c r="D583" s="5">
        <f>SUBTOTAL(9, D581:D582)</f>
        <v>0</v>
      </c>
      <c r="E583" s="5">
        <f>SUBTOTAL(9, E581:E582)</f>
        <v>1321.62</v>
      </c>
      <c r="F583" s="5">
        <f>SUBTOTAL(9, F581:F582)</f>
        <v>0</v>
      </c>
      <c r="G583" s="5">
        <f>SUBTOTAL(9, G581:G582)</f>
        <v>0</v>
      </c>
      <c r="H583" s="5">
        <f>SUBTOTAL(9, H581:H582)</f>
        <v>1321.62</v>
      </c>
      <c r="I583" s="7"/>
      <c r="J583" s="9"/>
      <c r="K583" s="3" t="s">
        <v>16</v>
      </c>
      <c r="L583" s="3" t="s">
        <v>16</v>
      </c>
      <c r="M583" s="3" t="s">
        <v>70</v>
      </c>
    </row>
    <row r="584" spans="1:13" customFormat="1" ht="15" x14ac:dyDescent="0.25">
      <c r="D584" s="14"/>
      <c r="E584" s="14"/>
      <c r="F584" s="14"/>
      <c r="G584" s="14"/>
      <c r="H584" s="14"/>
    </row>
    <row r="585" spans="1:13" x14ac:dyDescent="0.2">
      <c r="A585" s="2" t="s">
        <v>510</v>
      </c>
      <c r="B585" s="2" t="s">
        <v>511</v>
      </c>
      <c r="C585" s="2" t="s">
        <v>512</v>
      </c>
      <c r="D585" s="6">
        <v>354.39</v>
      </c>
      <c r="H585" s="6">
        <v>354.39</v>
      </c>
      <c r="I585" s="8">
        <v>45155</v>
      </c>
      <c r="J585" s="10">
        <v>11</v>
      </c>
      <c r="K585" s="2" t="s">
        <v>16</v>
      </c>
      <c r="L585" s="2" t="s">
        <v>36</v>
      </c>
      <c r="M585" s="2" t="s">
        <v>63</v>
      </c>
    </row>
    <row r="586" spans="1:13" customFormat="1" ht="15" x14ac:dyDescent="0.25">
      <c r="D586" s="14"/>
      <c r="E586" s="14"/>
      <c r="F586" s="14"/>
      <c r="G586" s="14"/>
      <c r="H586" s="14"/>
    </row>
    <row r="587" spans="1:13" s="4" customFormat="1" x14ac:dyDescent="0.2">
      <c r="A587" s="3" t="s">
        <v>510</v>
      </c>
      <c r="B587" s="3" t="s">
        <v>511</v>
      </c>
      <c r="C587" s="3" t="s">
        <v>16</v>
      </c>
      <c r="D587" s="5">
        <f>SUBTOTAL(9, D585:D586)</f>
        <v>354.39</v>
      </c>
      <c r="E587" s="5">
        <f>SUBTOTAL(9, E585:E586)</f>
        <v>0</v>
      </c>
      <c r="F587" s="5">
        <f>SUBTOTAL(9, F585:F586)</f>
        <v>0</v>
      </c>
      <c r="G587" s="5">
        <f>SUBTOTAL(9, G585:G586)</f>
        <v>0</v>
      </c>
      <c r="H587" s="5">
        <f>SUBTOTAL(9, H585:H586)</f>
        <v>354.39</v>
      </c>
      <c r="I587" s="7"/>
      <c r="J587" s="9"/>
      <c r="K587" s="3" t="s">
        <v>16</v>
      </c>
      <c r="L587" s="3" t="s">
        <v>16</v>
      </c>
      <c r="M587" s="3" t="s">
        <v>63</v>
      </c>
    </row>
    <row r="588" spans="1:13" customFormat="1" ht="15" x14ac:dyDescent="0.25">
      <c r="D588" s="14"/>
      <c r="E588" s="14"/>
      <c r="F588" s="14"/>
      <c r="G588" s="14"/>
      <c r="H588" s="14"/>
    </row>
    <row r="589" spans="1:13" x14ac:dyDescent="0.2">
      <c r="A589" s="2" t="s">
        <v>513</v>
      </c>
      <c r="B589" s="2" t="s">
        <v>514</v>
      </c>
      <c r="C589" s="2" t="s">
        <v>515</v>
      </c>
      <c r="D589" s="6">
        <v>969.02</v>
      </c>
      <c r="H589" s="6">
        <v>969.02</v>
      </c>
      <c r="I589" s="8">
        <v>45155</v>
      </c>
      <c r="J589" s="10">
        <v>11</v>
      </c>
      <c r="K589" s="2" t="s">
        <v>16</v>
      </c>
      <c r="L589" s="2" t="s">
        <v>36</v>
      </c>
      <c r="M589" s="2" t="s">
        <v>41</v>
      </c>
    </row>
    <row r="590" spans="1:13" customFormat="1" ht="15" x14ac:dyDescent="0.25">
      <c r="D590" s="14"/>
      <c r="E590" s="14"/>
      <c r="F590" s="14"/>
      <c r="G590" s="14"/>
      <c r="H590" s="14"/>
    </row>
    <row r="591" spans="1:13" s="4" customFormat="1" x14ac:dyDescent="0.2">
      <c r="A591" s="3" t="s">
        <v>513</v>
      </c>
      <c r="B591" s="3" t="s">
        <v>514</v>
      </c>
      <c r="C591" s="3" t="s">
        <v>16</v>
      </c>
      <c r="D591" s="5">
        <f>SUBTOTAL(9, D589:D590)</f>
        <v>969.02</v>
      </c>
      <c r="E591" s="5">
        <f>SUBTOTAL(9, E589:E590)</f>
        <v>0</v>
      </c>
      <c r="F591" s="5">
        <f>SUBTOTAL(9, F589:F590)</f>
        <v>0</v>
      </c>
      <c r="G591" s="5">
        <f>SUBTOTAL(9, G589:G590)</f>
        <v>0</v>
      </c>
      <c r="H591" s="5">
        <f>SUBTOTAL(9, H589:H590)</f>
        <v>969.02</v>
      </c>
      <c r="I591" s="7"/>
      <c r="J591" s="9"/>
      <c r="K591" s="3" t="s">
        <v>16</v>
      </c>
      <c r="L591" s="3" t="s">
        <v>16</v>
      </c>
      <c r="M591" s="3" t="s">
        <v>41</v>
      </c>
    </row>
    <row r="592" spans="1:13" customFormat="1" ht="15" x14ac:dyDescent="0.25">
      <c r="D592" s="14"/>
      <c r="E592" s="14"/>
      <c r="F592" s="14"/>
      <c r="G592" s="14"/>
      <c r="H592" s="14"/>
    </row>
    <row r="593" spans="1:13" x14ac:dyDescent="0.2">
      <c r="A593" s="2" t="s">
        <v>516</v>
      </c>
      <c r="B593" s="2" t="s">
        <v>517</v>
      </c>
      <c r="C593" s="2" t="s">
        <v>518</v>
      </c>
      <c r="G593" s="6">
        <v>449.97</v>
      </c>
      <c r="H593" s="6">
        <v>449.97</v>
      </c>
      <c r="I593" s="8">
        <v>45119</v>
      </c>
      <c r="J593" s="10">
        <v>47</v>
      </c>
      <c r="K593" s="2" t="s">
        <v>16</v>
      </c>
      <c r="L593" s="2" t="s">
        <v>17</v>
      </c>
      <c r="M593" s="2" t="s">
        <v>70</v>
      </c>
    </row>
    <row r="594" spans="1:13" customFormat="1" ht="15" x14ac:dyDescent="0.25">
      <c r="D594" s="14"/>
      <c r="E594" s="14"/>
      <c r="F594" s="14"/>
      <c r="G594" s="14"/>
      <c r="H594" s="14"/>
    </row>
    <row r="595" spans="1:13" s="4" customFormat="1" x14ac:dyDescent="0.2">
      <c r="A595" s="3" t="s">
        <v>516</v>
      </c>
      <c r="B595" s="3" t="s">
        <v>517</v>
      </c>
      <c r="C595" s="3" t="s">
        <v>16</v>
      </c>
      <c r="D595" s="5">
        <f>SUBTOTAL(9, D593:D594)</f>
        <v>0</v>
      </c>
      <c r="E595" s="5">
        <f>SUBTOTAL(9, E593:E594)</f>
        <v>0</v>
      </c>
      <c r="F595" s="5">
        <f>SUBTOTAL(9, F593:F594)</f>
        <v>0</v>
      </c>
      <c r="G595" s="5">
        <f>SUBTOTAL(9, G593:G594)</f>
        <v>449.97</v>
      </c>
      <c r="H595" s="5">
        <f>SUBTOTAL(9, H593:H594)</f>
        <v>449.97</v>
      </c>
      <c r="I595" s="7"/>
      <c r="J595" s="9"/>
      <c r="K595" s="3" t="s">
        <v>16</v>
      </c>
      <c r="L595" s="3" t="s">
        <v>16</v>
      </c>
      <c r="M595" s="3" t="s">
        <v>70</v>
      </c>
    </row>
    <row r="596" spans="1:13" customFormat="1" ht="15" x14ac:dyDescent="0.25">
      <c r="D596" s="14"/>
      <c r="E596" s="14"/>
      <c r="F596" s="14"/>
      <c r="G596" s="14"/>
      <c r="H596" s="14"/>
    </row>
    <row r="597" spans="1:13" x14ac:dyDescent="0.2">
      <c r="A597" s="2" t="s">
        <v>519</v>
      </c>
      <c r="B597" s="2" t="s">
        <v>520</v>
      </c>
      <c r="C597" s="2" t="s">
        <v>521</v>
      </c>
      <c r="D597" s="6">
        <v>799.68</v>
      </c>
      <c r="H597" s="6">
        <v>799.68</v>
      </c>
      <c r="I597" s="8">
        <v>45155</v>
      </c>
      <c r="J597" s="10">
        <v>11</v>
      </c>
      <c r="K597" s="2" t="s">
        <v>16</v>
      </c>
      <c r="L597" s="2" t="s">
        <v>25</v>
      </c>
      <c r="M597" s="2" t="s">
        <v>26</v>
      </c>
    </row>
    <row r="598" spans="1:13" customFormat="1" ht="15" x14ac:dyDescent="0.25">
      <c r="D598" s="14"/>
      <c r="E598" s="14"/>
      <c r="F598" s="14"/>
      <c r="G598" s="14"/>
      <c r="H598" s="14"/>
    </row>
    <row r="599" spans="1:13" s="4" customFormat="1" x14ac:dyDescent="0.2">
      <c r="A599" s="3" t="s">
        <v>519</v>
      </c>
      <c r="B599" s="3" t="s">
        <v>520</v>
      </c>
      <c r="C599" s="3" t="s">
        <v>16</v>
      </c>
      <c r="D599" s="5">
        <f>SUBTOTAL(9, D597:D598)</f>
        <v>799.68</v>
      </c>
      <c r="E599" s="5">
        <f>SUBTOTAL(9, E597:E598)</f>
        <v>0</v>
      </c>
      <c r="F599" s="5">
        <f>SUBTOTAL(9, F597:F598)</f>
        <v>0</v>
      </c>
      <c r="G599" s="5">
        <f>SUBTOTAL(9, G597:G598)</f>
        <v>0</v>
      </c>
      <c r="H599" s="5">
        <f>SUBTOTAL(9, H597:H598)</f>
        <v>799.68</v>
      </c>
      <c r="I599" s="7"/>
      <c r="J599" s="9"/>
      <c r="K599" s="3" t="s">
        <v>16</v>
      </c>
      <c r="L599" s="3" t="s">
        <v>16</v>
      </c>
      <c r="M599" s="3" t="s">
        <v>26</v>
      </c>
    </row>
    <row r="600" spans="1:13" customFormat="1" ht="15" x14ac:dyDescent="0.25">
      <c r="D600" s="14"/>
      <c r="E600" s="14"/>
      <c r="F600" s="14"/>
      <c r="G600" s="14"/>
      <c r="H600" s="14"/>
    </row>
    <row r="601" spans="1:13" x14ac:dyDescent="0.2">
      <c r="A601" s="2" t="s">
        <v>522</v>
      </c>
      <c r="B601" s="2" t="s">
        <v>523</v>
      </c>
      <c r="C601" s="2" t="s">
        <v>524</v>
      </c>
      <c r="D601" s="6">
        <v>248.01</v>
      </c>
      <c r="H601" s="6">
        <v>248.01</v>
      </c>
      <c r="I601" s="8">
        <v>45160</v>
      </c>
      <c r="J601" s="10">
        <v>6</v>
      </c>
      <c r="K601" s="2" t="s">
        <v>16</v>
      </c>
      <c r="L601" s="2" t="s">
        <v>17</v>
      </c>
      <c r="M601" s="2" t="s">
        <v>32</v>
      </c>
    </row>
    <row r="602" spans="1:13" customFormat="1" ht="15" x14ac:dyDescent="0.25">
      <c r="D602" s="14"/>
      <c r="E602" s="14"/>
      <c r="F602" s="14"/>
      <c r="G602" s="14"/>
      <c r="H602" s="14"/>
    </row>
    <row r="603" spans="1:13" s="4" customFormat="1" x14ac:dyDescent="0.2">
      <c r="A603" s="3" t="s">
        <v>522</v>
      </c>
      <c r="B603" s="3" t="s">
        <v>523</v>
      </c>
      <c r="C603" s="3" t="s">
        <v>16</v>
      </c>
      <c r="D603" s="5">
        <f>SUBTOTAL(9, D601:D602)</f>
        <v>248.01</v>
      </c>
      <c r="E603" s="5">
        <f>SUBTOTAL(9, E601:E602)</f>
        <v>0</v>
      </c>
      <c r="F603" s="5">
        <f>SUBTOTAL(9, F601:F602)</f>
        <v>0</v>
      </c>
      <c r="G603" s="5">
        <f>SUBTOTAL(9, G601:G602)</f>
        <v>0</v>
      </c>
      <c r="H603" s="5">
        <f>SUBTOTAL(9, H601:H602)</f>
        <v>248.01</v>
      </c>
      <c r="I603" s="7"/>
      <c r="J603" s="9"/>
      <c r="K603" s="3" t="s">
        <v>16</v>
      </c>
      <c r="L603" s="3" t="s">
        <v>16</v>
      </c>
      <c r="M603" s="3" t="s">
        <v>32</v>
      </c>
    </row>
    <row r="604" spans="1:13" customFormat="1" ht="15" x14ac:dyDescent="0.25">
      <c r="D604" s="14"/>
      <c r="E604" s="14"/>
      <c r="F604" s="14"/>
      <c r="G604" s="14"/>
      <c r="H604" s="14"/>
    </row>
    <row r="605" spans="1:13" x14ac:dyDescent="0.2">
      <c r="A605" s="2" t="s">
        <v>525</v>
      </c>
      <c r="B605" s="2" t="s">
        <v>526</v>
      </c>
      <c r="C605" s="2" t="s">
        <v>527</v>
      </c>
      <c r="D605" s="6">
        <v>1876.63</v>
      </c>
      <c r="H605" s="6">
        <v>1876.63</v>
      </c>
      <c r="I605" s="8">
        <v>45152</v>
      </c>
      <c r="J605" s="10">
        <v>14</v>
      </c>
      <c r="K605" s="2" t="s">
        <v>78</v>
      </c>
      <c r="L605" s="2" t="s">
        <v>36</v>
      </c>
      <c r="M605" s="2" t="s">
        <v>63</v>
      </c>
    </row>
    <row r="606" spans="1:13" x14ac:dyDescent="0.2">
      <c r="A606" s="2" t="s">
        <v>525</v>
      </c>
      <c r="B606" s="2" t="s">
        <v>526</v>
      </c>
      <c r="C606" s="2" t="s">
        <v>528</v>
      </c>
      <c r="D606" s="6">
        <v>1365.1</v>
      </c>
      <c r="H606" s="6">
        <v>1365.1</v>
      </c>
      <c r="I606" s="8">
        <v>45159</v>
      </c>
      <c r="J606" s="10">
        <v>7</v>
      </c>
      <c r="K606" s="2" t="s">
        <v>16</v>
      </c>
      <c r="L606" s="2" t="s">
        <v>36</v>
      </c>
      <c r="M606" s="2" t="s">
        <v>63</v>
      </c>
    </row>
    <row r="607" spans="1:13" x14ac:dyDescent="0.2">
      <c r="A607" s="2" t="s">
        <v>525</v>
      </c>
      <c r="B607" s="2" t="s">
        <v>526</v>
      </c>
      <c r="C607" s="2" t="s">
        <v>529</v>
      </c>
      <c r="D607" s="6">
        <v>1365.1</v>
      </c>
      <c r="H607" s="6">
        <v>1365.1</v>
      </c>
      <c r="I607" s="8">
        <v>45166</v>
      </c>
      <c r="K607" s="2" t="s">
        <v>16</v>
      </c>
      <c r="L607" s="2" t="s">
        <v>36</v>
      </c>
      <c r="M607" s="2" t="s">
        <v>63</v>
      </c>
    </row>
    <row r="608" spans="1:13" customFormat="1" ht="15" x14ac:dyDescent="0.25">
      <c r="D608" s="14"/>
      <c r="E608" s="14"/>
      <c r="F608" s="14"/>
      <c r="G608" s="14"/>
      <c r="H608" s="14"/>
    </row>
    <row r="609" spans="1:13" s="4" customFormat="1" x14ac:dyDescent="0.2">
      <c r="A609" s="3" t="s">
        <v>525</v>
      </c>
      <c r="B609" s="3" t="s">
        <v>526</v>
      </c>
      <c r="C609" s="3" t="s">
        <v>16</v>
      </c>
      <c r="D609" s="5">
        <f>SUBTOTAL(9, D605:D608)</f>
        <v>4606.83</v>
      </c>
      <c r="E609" s="5">
        <f>SUBTOTAL(9, E605:E608)</f>
        <v>0</v>
      </c>
      <c r="F609" s="5">
        <f>SUBTOTAL(9, F605:F608)</f>
        <v>0</v>
      </c>
      <c r="G609" s="5">
        <f>SUBTOTAL(9, G605:G608)</f>
        <v>0</v>
      </c>
      <c r="H609" s="5">
        <f>SUBTOTAL(9, H605:H608)</f>
        <v>4606.83</v>
      </c>
      <c r="I609" s="7"/>
      <c r="J609" s="9"/>
      <c r="K609" s="3" t="s">
        <v>16</v>
      </c>
      <c r="L609" s="3" t="s">
        <v>16</v>
      </c>
      <c r="M609" s="3" t="s">
        <v>63</v>
      </c>
    </row>
    <row r="610" spans="1:13" customFormat="1" ht="15" x14ac:dyDescent="0.25">
      <c r="D610" s="14"/>
      <c r="E610" s="14"/>
      <c r="F610" s="14"/>
      <c r="G610" s="14"/>
      <c r="H610" s="14"/>
    </row>
    <row r="611" spans="1:13" x14ac:dyDescent="0.2">
      <c r="A611" s="2" t="s">
        <v>530</v>
      </c>
      <c r="B611" s="2" t="s">
        <v>531</v>
      </c>
      <c r="C611" s="2" t="s">
        <v>532</v>
      </c>
      <c r="D611" s="6">
        <v>2059.9499999999998</v>
      </c>
      <c r="H611" s="6">
        <v>2059.9499999999998</v>
      </c>
      <c r="I611" s="8">
        <v>45161</v>
      </c>
      <c r="J611" s="10">
        <v>5</v>
      </c>
      <c r="K611" s="2" t="s">
        <v>16</v>
      </c>
      <c r="L611" s="2" t="s">
        <v>36</v>
      </c>
      <c r="M611" s="2" t="s">
        <v>98</v>
      </c>
    </row>
    <row r="612" spans="1:13" customFormat="1" ht="15" x14ac:dyDescent="0.25">
      <c r="D612" s="14"/>
      <c r="E612" s="14"/>
      <c r="F612" s="14"/>
      <c r="G612" s="14"/>
      <c r="H612" s="14"/>
    </row>
    <row r="613" spans="1:13" s="4" customFormat="1" x14ac:dyDescent="0.2">
      <c r="A613" s="3" t="s">
        <v>530</v>
      </c>
      <c r="B613" s="3" t="s">
        <v>531</v>
      </c>
      <c r="C613" s="3" t="s">
        <v>16</v>
      </c>
      <c r="D613" s="5">
        <f>SUBTOTAL(9, D611:D612)</f>
        <v>2059.9499999999998</v>
      </c>
      <c r="E613" s="5">
        <f>SUBTOTAL(9, E611:E612)</f>
        <v>0</v>
      </c>
      <c r="F613" s="5">
        <f>SUBTOTAL(9, F611:F612)</f>
        <v>0</v>
      </c>
      <c r="G613" s="5">
        <f>SUBTOTAL(9, G611:G612)</f>
        <v>0</v>
      </c>
      <c r="H613" s="5">
        <f>SUBTOTAL(9, H611:H612)</f>
        <v>2059.9499999999998</v>
      </c>
      <c r="I613" s="7"/>
      <c r="J613" s="9"/>
      <c r="K613" s="3" t="s">
        <v>16</v>
      </c>
      <c r="L613" s="3" t="s">
        <v>16</v>
      </c>
      <c r="M613" s="3" t="s">
        <v>98</v>
      </c>
    </row>
    <row r="614" spans="1:13" customFormat="1" ht="15" x14ac:dyDescent="0.25">
      <c r="D614" s="14"/>
      <c r="E614" s="14"/>
      <c r="F614" s="14"/>
      <c r="G614" s="14"/>
      <c r="H614" s="14"/>
    </row>
    <row r="615" spans="1:13" x14ac:dyDescent="0.2">
      <c r="A615" s="2" t="s">
        <v>533</v>
      </c>
      <c r="B615" s="2" t="s">
        <v>534</v>
      </c>
      <c r="C615" s="2" t="s">
        <v>535</v>
      </c>
      <c r="F615" s="6">
        <v>662.12</v>
      </c>
      <c r="H615" s="6">
        <v>662.12</v>
      </c>
      <c r="I615" s="8">
        <v>45127</v>
      </c>
      <c r="J615" s="10">
        <v>39</v>
      </c>
      <c r="K615" s="2" t="s">
        <v>16</v>
      </c>
      <c r="L615" s="2" t="s">
        <v>278</v>
      </c>
      <c r="M615" s="2" t="s">
        <v>279</v>
      </c>
    </row>
    <row r="616" spans="1:13" x14ac:dyDescent="0.2">
      <c r="A616" s="2" t="s">
        <v>533</v>
      </c>
      <c r="B616" s="2" t="s">
        <v>534</v>
      </c>
      <c r="C616" s="2" t="s">
        <v>536</v>
      </c>
      <c r="F616" s="6">
        <v>777.71</v>
      </c>
      <c r="H616" s="6">
        <v>777.71</v>
      </c>
      <c r="I616" s="8">
        <v>45134</v>
      </c>
      <c r="J616" s="10">
        <v>32</v>
      </c>
      <c r="K616" s="2" t="s">
        <v>16</v>
      </c>
      <c r="L616" s="2" t="s">
        <v>278</v>
      </c>
      <c r="M616" s="2" t="s">
        <v>279</v>
      </c>
    </row>
    <row r="617" spans="1:13" x14ac:dyDescent="0.2">
      <c r="A617" s="2" t="s">
        <v>533</v>
      </c>
      <c r="B617" s="2" t="s">
        <v>534</v>
      </c>
      <c r="C617" s="2" t="s">
        <v>537</v>
      </c>
      <c r="E617" s="6">
        <v>684.95</v>
      </c>
      <c r="H617" s="6">
        <v>684.95</v>
      </c>
      <c r="I617" s="8">
        <v>45141</v>
      </c>
      <c r="J617" s="10">
        <v>25</v>
      </c>
      <c r="K617" s="2" t="s">
        <v>16</v>
      </c>
      <c r="L617" s="2" t="s">
        <v>278</v>
      </c>
      <c r="M617" s="2" t="s">
        <v>279</v>
      </c>
    </row>
    <row r="618" spans="1:13" x14ac:dyDescent="0.2">
      <c r="A618" s="2" t="s">
        <v>533</v>
      </c>
      <c r="B618" s="2" t="s">
        <v>534</v>
      </c>
      <c r="C618" s="2" t="s">
        <v>538</v>
      </c>
      <c r="E618" s="6">
        <v>570.79999999999995</v>
      </c>
      <c r="H618" s="6">
        <v>570.79999999999995</v>
      </c>
      <c r="I618" s="8">
        <v>45148</v>
      </c>
      <c r="J618" s="10">
        <v>18</v>
      </c>
      <c r="K618" s="2" t="s">
        <v>16</v>
      </c>
      <c r="L618" s="2" t="s">
        <v>278</v>
      </c>
      <c r="M618" s="2" t="s">
        <v>279</v>
      </c>
    </row>
    <row r="619" spans="1:13" x14ac:dyDescent="0.2">
      <c r="A619" s="2" t="s">
        <v>533</v>
      </c>
      <c r="B619" s="2" t="s">
        <v>534</v>
      </c>
      <c r="C619" s="2" t="s">
        <v>539</v>
      </c>
      <c r="D619" s="6">
        <v>754.88</v>
      </c>
      <c r="H619" s="6">
        <v>754.88</v>
      </c>
      <c r="I619" s="8">
        <v>45155</v>
      </c>
      <c r="J619" s="10">
        <v>11</v>
      </c>
      <c r="K619" s="2" t="s">
        <v>16</v>
      </c>
      <c r="L619" s="2" t="s">
        <v>278</v>
      </c>
      <c r="M619" s="2" t="s">
        <v>279</v>
      </c>
    </row>
    <row r="620" spans="1:13" x14ac:dyDescent="0.2">
      <c r="A620" s="2" t="s">
        <v>533</v>
      </c>
      <c r="B620" s="2" t="s">
        <v>534</v>
      </c>
      <c r="C620" s="2" t="s">
        <v>540</v>
      </c>
      <c r="D620" s="6">
        <v>609.69000000000005</v>
      </c>
      <c r="H620" s="6">
        <v>609.69000000000005</v>
      </c>
      <c r="I620" s="8">
        <v>45162</v>
      </c>
      <c r="J620" s="10">
        <v>4</v>
      </c>
      <c r="K620" s="2" t="s">
        <v>16</v>
      </c>
      <c r="L620" s="2" t="s">
        <v>278</v>
      </c>
      <c r="M620" s="2" t="s">
        <v>279</v>
      </c>
    </row>
    <row r="621" spans="1:13" customFormat="1" ht="15" x14ac:dyDescent="0.25">
      <c r="D621" s="14"/>
      <c r="E621" s="14"/>
      <c r="F621" s="14"/>
      <c r="G621" s="14"/>
      <c r="H621" s="14"/>
    </row>
    <row r="622" spans="1:13" s="4" customFormat="1" x14ac:dyDescent="0.2">
      <c r="A622" s="3" t="s">
        <v>533</v>
      </c>
      <c r="B622" s="3" t="s">
        <v>534</v>
      </c>
      <c r="C622" s="3" t="s">
        <v>16</v>
      </c>
      <c r="D622" s="5">
        <f>SUBTOTAL(9, D615:D621)</f>
        <v>1364.5700000000002</v>
      </c>
      <c r="E622" s="5">
        <f>SUBTOTAL(9, E615:E621)</f>
        <v>1255.75</v>
      </c>
      <c r="F622" s="5">
        <f>SUBTOTAL(9, F615:F621)</f>
        <v>1439.83</v>
      </c>
      <c r="G622" s="5">
        <f>SUBTOTAL(9, G615:G621)</f>
        <v>0</v>
      </c>
      <c r="H622" s="5">
        <f>SUBTOTAL(9, H615:H621)</f>
        <v>4060.15</v>
      </c>
      <c r="I622" s="7"/>
      <c r="J622" s="9"/>
      <c r="K622" s="3" t="s">
        <v>16</v>
      </c>
      <c r="L622" s="3" t="s">
        <v>16</v>
      </c>
      <c r="M622" s="3" t="s">
        <v>279</v>
      </c>
    </row>
    <row r="623" spans="1:13" customFormat="1" ht="15" x14ac:dyDescent="0.25">
      <c r="D623" s="14"/>
      <c r="E623" s="14"/>
      <c r="F623" s="14"/>
      <c r="G623" s="14"/>
      <c r="H623" s="14"/>
    </row>
    <row r="624" spans="1:13" x14ac:dyDescent="0.2">
      <c r="A624" s="2" t="s">
        <v>541</v>
      </c>
      <c r="B624" s="2" t="s">
        <v>542</v>
      </c>
      <c r="C624" s="2" t="s">
        <v>543</v>
      </c>
      <c r="F624" s="6">
        <v>1134.67</v>
      </c>
      <c r="H624" s="6">
        <v>1134.67</v>
      </c>
      <c r="I624" s="8">
        <v>45131</v>
      </c>
      <c r="J624" s="10">
        <v>35</v>
      </c>
      <c r="K624" s="2" t="s">
        <v>16</v>
      </c>
      <c r="L624" s="2" t="s">
        <v>17</v>
      </c>
      <c r="M624" s="2" t="s">
        <v>63</v>
      </c>
    </row>
    <row r="625" spans="1:13" x14ac:dyDescent="0.2">
      <c r="A625" s="2" t="s">
        <v>541</v>
      </c>
      <c r="B625" s="2" t="s">
        <v>542</v>
      </c>
      <c r="C625" s="2" t="s">
        <v>544</v>
      </c>
      <c r="F625" s="6">
        <v>-6.5</v>
      </c>
      <c r="H625" s="6">
        <v>-6.5</v>
      </c>
      <c r="I625" s="8">
        <v>45135</v>
      </c>
      <c r="J625" s="10">
        <v>31</v>
      </c>
      <c r="K625" s="2" t="s">
        <v>16</v>
      </c>
      <c r="L625" s="2" t="s">
        <v>17</v>
      </c>
      <c r="M625" s="2" t="s">
        <v>63</v>
      </c>
    </row>
    <row r="626" spans="1:13" x14ac:dyDescent="0.2">
      <c r="A626" s="2" t="s">
        <v>541</v>
      </c>
      <c r="B626" s="2" t="s">
        <v>542</v>
      </c>
      <c r="C626" s="2" t="s">
        <v>545</v>
      </c>
      <c r="E626" s="6">
        <v>4702.84</v>
      </c>
      <c r="H626" s="6">
        <v>4702.84</v>
      </c>
      <c r="I626" s="8">
        <v>45138</v>
      </c>
      <c r="J626" s="10">
        <v>28</v>
      </c>
      <c r="K626" s="2" t="s">
        <v>16</v>
      </c>
      <c r="L626" s="2" t="s">
        <v>17</v>
      </c>
      <c r="M626" s="2" t="s">
        <v>63</v>
      </c>
    </row>
    <row r="627" spans="1:13" x14ac:dyDescent="0.2">
      <c r="A627" s="2" t="s">
        <v>541</v>
      </c>
      <c r="B627" s="2" t="s">
        <v>542</v>
      </c>
      <c r="C627" s="2" t="s">
        <v>546</v>
      </c>
      <c r="D627" s="6">
        <v>2051.73</v>
      </c>
      <c r="H627" s="6">
        <v>2051.73</v>
      </c>
      <c r="I627" s="8">
        <v>45152</v>
      </c>
      <c r="J627" s="10">
        <v>14</v>
      </c>
      <c r="K627" s="2" t="s">
        <v>16</v>
      </c>
      <c r="L627" s="2" t="s">
        <v>17</v>
      </c>
      <c r="M627" s="2" t="s">
        <v>63</v>
      </c>
    </row>
    <row r="628" spans="1:13" x14ac:dyDescent="0.2">
      <c r="A628" s="2" t="s">
        <v>541</v>
      </c>
      <c r="B628" s="2" t="s">
        <v>542</v>
      </c>
      <c r="C628" s="2" t="s">
        <v>547</v>
      </c>
      <c r="D628" s="6">
        <v>1265.8699999999999</v>
      </c>
      <c r="H628" s="6">
        <v>1265.8699999999999</v>
      </c>
      <c r="I628" s="8">
        <v>45159</v>
      </c>
      <c r="J628" s="10">
        <v>7</v>
      </c>
      <c r="K628" s="2" t="s">
        <v>16</v>
      </c>
      <c r="L628" s="2" t="s">
        <v>17</v>
      </c>
      <c r="M628" s="2" t="s">
        <v>63</v>
      </c>
    </row>
    <row r="629" spans="1:13" x14ac:dyDescent="0.2">
      <c r="A629" s="2" t="s">
        <v>541</v>
      </c>
      <c r="B629" s="2" t="s">
        <v>542</v>
      </c>
      <c r="C629" s="2" t="s">
        <v>548</v>
      </c>
      <c r="D629" s="6">
        <v>1325.56</v>
      </c>
      <c r="H629" s="6">
        <v>1325.56</v>
      </c>
      <c r="I629" s="8">
        <v>45166</v>
      </c>
      <c r="K629" s="2" t="s">
        <v>16</v>
      </c>
      <c r="L629" s="2" t="s">
        <v>17</v>
      </c>
      <c r="M629" s="2" t="s">
        <v>63</v>
      </c>
    </row>
    <row r="630" spans="1:13" customFormat="1" ht="15" x14ac:dyDescent="0.25">
      <c r="D630" s="14"/>
      <c r="E630" s="14"/>
      <c r="F630" s="14"/>
      <c r="G630" s="14"/>
      <c r="H630" s="14"/>
    </row>
    <row r="631" spans="1:13" s="4" customFormat="1" x14ac:dyDescent="0.2">
      <c r="A631" s="3" t="s">
        <v>541</v>
      </c>
      <c r="B631" s="3" t="s">
        <v>542</v>
      </c>
      <c r="C631" s="3" t="s">
        <v>16</v>
      </c>
      <c r="D631" s="5">
        <f>SUBTOTAL(9, D624:D630)</f>
        <v>4643.16</v>
      </c>
      <c r="E631" s="5">
        <f>SUBTOTAL(9, E624:E630)</f>
        <v>4702.84</v>
      </c>
      <c r="F631" s="5">
        <f>SUBTOTAL(9, F624:F630)</f>
        <v>1128.17</v>
      </c>
      <c r="G631" s="5">
        <f>SUBTOTAL(9, G624:G630)</f>
        <v>0</v>
      </c>
      <c r="H631" s="5">
        <f>SUBTOTAL(9, H624:H630)</f>
        <v>10474.17</v>
      </c>
      <c r="I631" s="7"/>
      <c r="J631" s="9"/>
      <c r="K631" s="3" t="s">
        <v>16</v>
      </c>
      <c r="L631" s="3" t="s">
        <v>16</v>
      </c>
      <c r="M631" s="3" t="s">
        <v>63</v>
      </c>
    </row>
    <row r="632" spans="1:13" customFormat="1" ht="15" x14ac:dyDescent="0.25">
      <c r="D632" s="14"/>
      <c r="E632" s="14"/>
      <c r="F632" s="14"/>
      <c r="G632" s="14"/>
      <c r="H632" s="14"/>
    </row>
    <row r="633" spans="1:13" x14ac:dyDescent="0.2">
      <c r="A633" s="2" t="s">
        <v>549</v>
      </c>
      <c r="B633" s="2" t="s">
        <v>550</v>
      </c>
      <c r="C633" s="2" t="s">
        <v>551</v>
      </c>
      <c r="E633" s="6">
        <v>735</v>
      </c>
      <c r="H633" s="6">
        <v>735</v>
      </c>
      <c r="I633" s="8">
        <v>45138</v>
      </c>
      <c r="J633" s="10">
        <v>28</v>
      </c>
      <c r="K633" s="2" t="s">
        <v>16</v>
      </c>
      <c r="L633" s="2" t="s">
        <v>36</v>
      </c>
      <c r="M633" s="2" t="s">
        <v>98</v>
      </c>
    </row>
    <row r="634" spans="1:13" x14ac:dyDescent="0.2">
      <c r="A634" s="2" t="s">
        <v>549</v>
      </c>
      <c r="B634" s="2" t="s">
        <v>550</v>
      </c>
      <c r="C634" s="2" t="s">
        <v>552</v>
      </c>
      <c r="D634" s="6">
        <v>735</v>
      </c>
      <c r="H634" s="6">
        <v>735</v>
      </c>
      <c r="I634" s="8">
        <v>45159</v>
      </c>
      <c r="J634" s="10">
        <v>7</v>
      </c>
      <c r="K634" s="2" t="s">
        <v>16</v>
      </c>
      <c r="L634" s="2" t="s">
        <v>36</v>
      </c>
      <c r="M634" s="2" t="s">
        <v>98</v>
      </c>
    </row>
    <row r="635" spans="1:13" x14ac:dyDescent="0.2">
      <c r="A635" s="2" t="s">
        <v>549</v>
      </c>
      <c r="B635" s="2" t="s">
        <v>550</v>
      </c>
      <c r="C635" s="2" t="s">
        <v>553</v>
      </c>
      <c r="D635" s="6">
        <v>735</v>
      </c>
      <c r="H635" s="6">
        <v>735</v>
      </c>
      <c r="I635" s="8">
        <v>45166</v>
      </c>
      <c r="K635" s="2" t="s">
        <v>16</v>
      </c>
      <c r="L635" s="2" t="s">
        <v>36</v>
      </c>
      <c r="M635" s="2" t="s">
        <v>98</v>
      </c>
    </row>
    <row r="636" spans="1:13" customFormat="1" ht="15" x14ac:dyDescent="0.25">
      <c r="D636" s="14"/>
      <c r="E636" s="14"/>
      <c r="F636" s="14"/>
      <c r="G636" s="14"/>
      <c r="H636" s="14"/>
    </row>
    <row r="637" spans="1:13" s="4" customFormat="1" x14ac:dyDescent="0.2">
      <c r="A637" s="3" t="s">
        <v>549</v>
      </c>
      <c r="B637" s="3" t="s">
        <v>550</v>
      </c>
      <c r="C637" s="3" t="s">
        <v>16</v>
      </c>
      <c r="D637" s="5">
        <f>SUBTOTAL(9, D633:D636)</f>
        <v>1470</v>
      </c>
      <c r="E637" s="5">
        <f>SUBTOTAL(9, E633:E636)</f>
        <v>735</v>
      </c>
      <c r="F637" s="5">
        <f>SUBTOTAL(9, F633:F636)</f>
        <v>0</v>
      </c>
      <c r="G637" s="5">
        <f>SUBTOTAL(9, G633:G636)</f>
        <v>0</v>
      </c>
      <c r="H637" s="5">
        <f>SUBTOTAL(9, H633:H636)</f>
        <v>2205</v>
      </c>
      <c r="I637" s="7"/>
      <c r="J637" s="9"/>
      <c r="K637" s="3" t="s">
        <v>16</v>
      </c>
      <c r="L637" s="3" t="s">
        <v>16</v>
      </c>
      <c r="M637" s="3" t="s">
        <v>98</v>
      </c>
    </row>
    <row r="638" spans="1:13" customFormat="1" ht="15" x14ac:dyDescent="0.25">
      <c r="D638" s="14"/>
      <c r="E638" s="14"/>
      <c r="F638" s="14"/>
      <c r="G638" s="14"/>
      <c r="H638" s="14"/>
    </row>
    <row r="639" spans="1:13" x14ac:dyDescent="0.2">
      <c r="A639" s="2" t="s">
        <v>554</v>
      </c>
      <c r="B639" s="2" t="s">
        <v>555</v>
      </c>
      <c r="C639" s="2" t="s">
        <v>556</v>
      </c>
      <c r="F639" s="6">
        <v>2202.14</v>
      </c>
      <c r="H639" s="6">
        <v>2202.14</v>
      </c>
      <c r="I639" s="8">
        <v>45131</v>
      </c>
      <c r="J639" s="10">
        <v>35</v>
      </c>
      <c r="K639" s="2" t="s">
        <v>16</v>
      </c>
      <c r="L639" s="2" t="s">
        <v>17</v>
      </c>
      <c r="M639" s="2" t="s">
        <v>98</v>
      </c>
    </row>
    <row r="640" spans="1:13" x14ac:dyDescent="0.2">
      <c r="A640" s="2" t="s">
        <v>554</v>
      </c>
      <c r="B640" s="2" t="s">
        <v>555</v>
      </c>
      <c r="C640" s="2" t="s">
        <v>557</v>
      </c>
      <c r="E640" s="6">
        <v>356.43</v>
      </c>
      <c r="H640" s="6">
        <v>356.43</v>
      </c>
      <c r="I640" s="8">
        <v>45142</v>
      </c>
      <c r="J640" s="10">
        <v>24</v>
      </c>
      <c r="K640" s="2" t="s">
        <v>16</v>
      </c>
      <c r="L640" s="2" t="s">
        <v>17</v>
      </c>
      <c r="M640" s="2" t="s">
        <v>98</v>
      </c>
    </row>
    <row r="641" spans="1:13" x14ac:dyDescent="0.2">
      <c r="A641" s="2" t="s">
        <v>554</v>
      </c>
      <c r="B641" s="2" t="s">
        <v>555</v>
      </c>
      <c r="C641" s="2" t="s">
        <v>558</v>
      </c>
      <c r="E641" s="6">
        <v>1300.0999999999999</v>
      </c>
      <c r="H641" s="6">
        <v>1300.0999999999999</v>
      </c>
      <c r="I641" s="8">
        <v>45145</v>
      </c>
      <c r="J641" s="10">
        <v>21</v>
      </c>
      <c r="K641" s="2" t="s">
        <v>16</v>
      </c>
      <c r="L641" s="2" t="s">
        <v>17</v>
      </c>
      <c r="M641" s="2" t="s">
        <v>98</v>
      </c>
    </row>
    <row r="642" spans="1:13" x14ac:dyDescent="0.2">
      <c r="A642" s="2" t="s">
        <v>554</v>
      </c>
      <c r="B642" s="2" t="s">
        <v>555</v>
      </c>
      <c r="C642" s="2" t="s">
        <v>559</v>
      </c>
      <c r="D642" s="6">
        <v>3446.24</v>
      </c>
      <c r="H642" s="6">
        <v>3446.24</v>
      </c>
      <c r="I642" s="8">
        <v>45159</v>
      </c>
      <c r="J642" s="10">
        <v>7</v>
      </c>
      <c r="K642" s="2" t="s">
        <v>16</v>
      </c>
      <c r="L642" s="2" t="s">
        <v>17</v>
      </c>
      <c r="M642" s="2" t="s">
        <v>98</v>
      </c>
    </row>
    <row r="643" spans="1:13" x14ac:dyDescent="0.2">
      <c r="A643" s="2" t="s">
        <v>554</v>
      </c>
      <c r="B643" s="2" t="s">
        <v>555</v>
      </c>
      <c r="C643" s="2" t="s">
        <v>560</v>
      </c>
      <c r="D643" s="6">
        <v>1399.1</v>
      </c>
      <c r="H643" s="6">
        <v>1399.1</v>
      </c>
      <c r="I643" s="8">
        <v>45166</v>
      </c>
      <c r="K643" s="2" t="s">
        <v>16</v>
      </c>
      <c r="L643" s="2" t="s">
        <v>17</v>
      </c>
      <c r="M643" s="2" t="s">
        <v>98</v>
      </c>
    </row>
    <row r="644" spans="1:13" customFormat="1" ht="15" x14ac:dyDescent="0.25">
      <c r="D644" s="14"/>
      <c r="E644" s="14"/>
      <c r="F644" s="14"/>
      <c r="G644" s="14"/>
      <c r="H644" s="14"/>
    </row>
    <row r="645" spans="1:13" s="4" customFormat="1" x14ac:dyDescent="0.2">
      <c r="A645" s="3" t="s">
        <v>554</v>
      </c>
      <c r="B645" s="3" t="s">
        <v>555</v>
      </c>
      <c r="C645" s="3" t="s">
        <v>16</v>
      </c>
      <c r="D645" s="5">
        <f>SUBTOTAL(9, D639:D644)</f>
        <v>4845.34</v>
      </c>
      <c r="E645" s="5">
        <f>SUBTOTAL(9, E639:E644)</f>
        <v>1656.53</v>
      </c>
      <c r="F645" s="5">
        <f>SUBTOTAL(9, F639:F644)</f>
        <v>2202.14</v>
      </c>
      <c r="G645" s="5">
        <f>SUBTOTAL(9, G639:G644)</f>
        <v>0</v>
      </c>
      <c r="H645" s="5">
        <f>SUBTOTAL(9, H639:H644)</f>
        <v>8704.01</v>
      </c>
      <c r="I645" s="7"/>
      <c r="J645" s="9"/>
      <c r="K645" s="3" t="s">
        <v>16</v>
      </c>
      <c r="L645" s="3" t="s">
        <v>16</v>
      </c>
      <c r="M645" s="3" t="s">
        <v>98</v>
      </c>
    </row>
    <row r="646" spans="1:13" customFormat="1" ht="15" x14ac:dyDescent="0.25">
      <c r="D646" s="14"/>
      <c r="E646" s="14"/>
      <c r="F646" s="14"/>
      <c r="G646" s="14"/>
      <c r="H646" s="14"/>
    </row>
    <row r="647" spans="1:13" x14ac:dyDescent="0.2">
      <c r="A647" s="2" t="s">
        <v>561</v>
      </c>
      <c r="B647" s="2" t="s">
        <v>562</v>
      </c>
      <c r="C647" s="2" t="s">
        <v>563</v>
      </c>
      <c r="D647" s="6">
        <v>9672.1</v>
      </c>
      <c r="H647" s="6">
        <v>9672.1</v>
      </c>
      <c r="I647" s="8">
        <v>45154</v>
      </c>
      <c r="J647" s="10">
        <v>12</v>
      </c>
      <c r="K647" s="2" t="s">
        <v>16</v>
      </c>
      <c r="L647" s="2" t="s">
        <v>25</v>
      </c>
      <c r="M647" s="2" t="s">
        <v>186</v>
      </c>
    </row>
    <row r="648" spans="1:13" x14ac:dyDescent="0.2">
      <c r="A648" s="2" t="s">
        <v>561</v>
      </c>
      <c r="B648" s="2" t="s">
        <v>562</v>
      </c>
      <c r="C648" s="2" t="s">
        <v>564</v>
      </c>
      <c r="D648" s="6">
        <v>2559.87</v>
      </c>
      <c r="H648" s="6">
        <v>2559.87</v>
      </c>
      <c r="I648" s="8">
        <v>45159</v>
      </c>
      <c r="J648" s="10">
        <v>7</v>
      </c>
      <c r="K648" s="2" t="s">
        <v>16</v>
      </c>
      <c r="L648" s="2" t="s">
        <v>25</v>
      </c>
      <c r="M648" s="2" t="s">
        <v>186</v>
      </c>
    </row>
    <row r="649" spans="1:13" x14ac:dyDescent="0.2">
      <c r="A649" s="2" t="s">
        <v>561</v>
      </c>
      <c r="B649" s="2" t="s">
        <v>562</v>
      </c>
      <c r="C649" s="2" t="s">
        <v>565</v>
      </c>
      <c r="D649" s="6">
        <v>27722.93</v>
      </c>
      <c r="H649" s="6">
        <v>27722.93</v>
      </c>
      <c r="I649" s="8">
        <v>45161</v>
      </c>
      <c r="J649" s="10">
        <v>5</v>
      </c>
      <c r="K649" s="2" t="s">
        <v>16</v>
      </c>
      <c r="L649" s="2" t="s">
        <v>25</v>
      </c>
      <c r="M649" s="2" t="s">
        <v>186</v>
      </c>
    </row>
    <row r="650" spans="1:13" customFormat="1" ht="15" x14ac:dyDescent="0.25">
      <c r="D650" s="14"/>
      <c r="E650" s="14"/>
      <c r="F650" s="14"/>
      <c r="G650" s="14"/>
      <c r="H650" s="14"/>
    </row>
    <row r="651" spans="1:13" s="4" customFormat="1" x14ac:dyDescent="0.2">
      <c r="A651" s="3" t="s">
        <v>561</v>
      </c>
      <c r="B651" s="3" t="s">
        <v>562</v>
      </c>
      <c r="C651" s="3" t="s">
        <v>16</v>
      </c>
      <c r="D651" s="5">
        <f>SUBTOTAL(9, D647:D650)</f>
        <v>39954.9</v>
      </c>
      <c r="E651" s="5">
        <f>SUBTOTAL(9, E647:E650)</f>
        <v>0</v>
      </c>
      <c r="F651" s="5">
        <f>SUBTOTAL(9, F647:F650)</f>
        <v>0</v>
      </c>
      <c r="G651" s="5">
        <f>SUBTOTAL(9, G647:G650)</f>
        <v>0</v>
      </c>
      <c r="H651" s="5">
        <f>SUBTOTAL(9, H647:H650)</f>
        <v>39954.9</v>
      </c>
      <c r="I651" s="7"/>
      <c r="J651" s="9"/>
      <c r="K651" s="3" t="s">
        <v>16</v>
      </c>
      <c r="L651" s="3" t="s">
        <v>16</v>
      </c>
      <c r="M651" s="3" t="s">
        <v>186</v>
      </c>
    </row>
    <row r="652" spans="1:13" customFormat="1" ht="15" x14ac:dyDescent="0.25">
      <c r="D652" s="14"/>
      <c r="E652" s="14"/>
      <c r="F652" s="14"/>
      <c r="G652" s="14"/>
      <c r="H652" s="14"/>
    </row>
    <row r="653" spans="1:13" x14ac:dyDescent="0.2">
      <c r="A653" s="2" t="s">
        <v>566</v>
      </c>
      <c r="B653" s="2" t="s">
        <v>567</v>
      </c>
      <c r="C653" s="2" t="s">
        <v>568</v>
      </c>
      <c r="D653" s="6">
        <v>2155.0100000000002</v>
      </c>
      <c r="H653" s="6">
        <v>2155.0100000000002</v>
      </c>
      <c r="I653" s="8">
        <v>45161</v>
      </c>
      <c r="J653" s="10">
        <v>5</v>
      </c>
      <c r="K653" s="2" t="s">
        <v>16</v>
      </c>
      <c r="L653" s="2" t="s">
        <v>25</v>
      </c>
      <c r="M653" s="2" t="s">
        <v>59</v>
      </c>
    </row>
    <row r="654" spans="1:13" customFormat="1" ht="15" x14ac:dyDescent="0.25">
      <c r="D654" s="14"/>
      <c r="E654" s="14"/>
      <c r="F654" s="14"/>
      <c r="G654" s="14"/>
      <c r="H654" s="14"/>
    </row>
    <row r="655" spans="1:13" s="4" customFormat="1" x14ac:dyDescent="0.2">
      <c r="A655" s="3" t="s">
        <v>566</v>
      </c>
      <c r="B655" s="3" t="s">
        <v>567</v>
      </c>
      <c r="C655" s="3" t="s">
        <v>16</v>
      </c>
      <c r="D655" s="5">
        <f>SUBTOTAL(9, D653:D654)</f>
        <v>2155.0100000000002</v>
      </c>
      <c r="E655" s="5">
        <f>SUBTOTAL(9, E653:E654)</f>
        <v>0</v>
      </c>
      <c r="F655" s="5">
        <f>SUBTOTAL(9, F653:F654)</f>
        <v>0</v>
      </c>
      <c r="G655" s="5">
        <f>SUBTOTAL(9, G653:G654)</f>
        <v>0</v>
      </c>
      <c r="H655" s="5">
        <f>SUBTOTAL(9, H653:H654)</f>
        <v>2155.0100000000002</v>
      </c>
      <c r="I655" s="7"/>
      <c r="J655" s="9"/>
      <c r="K655" s="3" t="s">
        <v>16</v>
      </c>
      <c r="L655" s="3" t="s">
        <v>16</v>
      </c>
      <c r="M655" s="3" t="s">
        <v>59</v>
      </c>
    </row>
    <row r="656" spans="1:13" customFormat="1" ht="15" x14ac:dyDescent="0.25">
      <c r="D656" s="14"/>
      <c r="E656" s="14"/>
      <c r="F656" s="14"/>
      <c r="G656" s="14"/>
      <c r="H656" s="14"/>
    </row>
    <row r="657" spans="1:13" x14ac:dyDescent="0.2">
      <c r="A657" s="2" t="s">
        <v>569</v>
      </c>
      <c r="B657" s="2" t="s">
        <v>570</v>
      </c>
      <c r="C657" s="2" t="s">
        <v>571</v>
      </c>
      <c r="E657" s="6">
        <v>4769.41</v>
      </c>
      <c r="H657" s="6">
        <v>4769.41</v>
      </c>
      <c r="I657" s="8">
        <v>45147</v>
      </c>
      <c r="J657" s="10">
        <v>19</v>
      </c>
      <c r="K657" s="2" t="s">
        <v>16</v>
      </c>
      <c r="L657" s="2" t="s">
        <v>36</v>
      </c>
      <c r="M657" s="2" t="s">
        <v>41</v>
      </c>
    </row>
    <row r="658" spans="1:13" x14ac:dyDescent="0.2">
      <c r="A658" s="2" t="s">
        <v>569</v>
      </c>
      <c r="B658" s="2" t="s">
        <v>570</v>
      </c>
      <c r="C658" s="2" t="s">
        <v>572</v>
      </c>
      <c r="D658" s="6">
        <v>40.5</v>
      </c>
      <c r="H658" s="6">
        <v>40.5</v>
      </c>
      <c r="I658" s="8">
        <v>45160</v>
      </c>
      <c r="J658" s="10">
        <v>6</v>
      </c>
      <c r="K658" s="2" t="s">
        <v>16</v>
      </c>
      <c r="L658" s="2" t="s">
        <v>36</v>
      </c>
      <c r="M658" s="2" t="s">
        <v>41</v>
      </c>
    </row>
    <row r="659" spans="1:13" customFormat="1" ht="15" x14ac:dyDescent="0.25">
      <c r="D659" s="14"/>
      <c r="E659" s="14"/>
      <c r="F659" s="14"/>
      <c r="G659" s="14"/>
      <c r="H659" s="14"/>
    </row>
    <row r="660" spans="1:13" s="4" customFormat="1" x14ac:dyDescent="0.2">
      <c r="A660" s="3" t="s">
        <v>569</v>
      </c>
      <c r="B660" s="3" t="s">
        <v>570</v>
      </c>
      <c r="C660" s="3" t="s">
        <v>16</v>
      </c>
      <c r="D660" s="5">
        <f>SUBTOTAL(9, D657:D659)</f>
        <v>40.5</v>
      </c>
      <c r="E660" s="5">
        <f>SUBTOTAL(9, E657:E659)</f>
        <v>4769.41</v>
      </c>
      <c r="F660" s="5">
        <f>SUBTOTAL(9, F657:F659)</f>
        <v>0</v>
      </c>
      <c r="G660" s="5">
        <f>SUBTOTAL(9, G657:G659)</f>
        <v>0</v>
      </c>
      <c r="H660" s="5">
        <f>SUBTOTAL(9, H657:H659)</f>
        <v>4809.91</v>
      </c>
      <c r="I660" s="7"/>
      <c r="J660" s="9"/>
      <c r="K660" s="3" t="s">
        <v>16</v>
      </c>
      <c r="L660" s="3" t="s">
        <v>16</v>
      </c>
      <c r="M660" s="3" t="s">
        <v>41</v>
      </c>
    </row>
    <row r="661" spans="1:13" customFormat="1" ht="15" x14ac:dyDescent="0.25">
      <c r="D661" s="14"/>
      <c r="E661" s="14"/>
      <c r="F661" s="14"/>
      <c r="G661" s="14"/>
      <c r="H661" s="14"/>
    </row>
    <row r="662" spans="1:13" x14ac:dyDescent="0.2">
      <c r="A662" s="2" t="s">
        <v>573</v>
      </c>
      <c r="B662" s="2" t="s">
        <v>574</v>
      </c>
      <c r="C662" s="2" t="s">
        <v>575</v>
      </c>
      <c r="E662" s="6">
        <v>6832.46</v>
      </c>
      <c r="H662" s="6">
        <v>6832.46</v>
      </c>
      <c r="I662" s="8">
        <v>45140</v>
      </c>
      <c r="J662" s="10">
        <v>26</v>
      </c>
      <c r="K662" s="2" t="s">
        <v>78</v>
      </c>
      <c r="L662" s="2" t="s">
        <v>25</v>
      </c>
      <c r="M662" s="2" t="s">
        <v>63</v>
      </c>
    </row>
    <row r="663" spans="1:13" x14ac:dyDescent="0.2">
      <c r="A663" s="2" t="s">
        <v>573</v>
      </c>
      <c r="B663" s="2" t="s">
        <v>574</v>
      </c>
      <c r="C663" s="2" t="s">
        <v>576</v>
      </c>
      <c r="E663" s="6">
        <v>-12.43</v>
      </c>
      <c r="H663" s="6">
        <v>-12.43</v>
      </c>
      <c r="I663" s="8">
        <v>45140</v>
      </c>
      <c r="J663" s="10">
        <v>26</v>
      </c>
      <c r="K663" s="2" t="s">
        <v>16</v>
      </c>
      <c r="L663" s="2" t="s">
        <v>25</v>
      </c>
      <c r="M663" s="2" t="s">
        <v>63</v>
      </c>
    </row>
    <row r="664" spans="1:13" x14ac:dyDescent="0.2">
      <c r="A664" s="2" t="s">
        <v>573</v>
      </c>
      <c r="B664" s="2" t="s">
        <v>574</v>
      </c>
      <c r="C664" s="2" t="s">
        <v>577</v>
      </c>
      <c r="D664" s="6">
        <v>6851.95</v>
      </c>
      <c r="H664" s="6">
        <v>6851.95</v>
      </c>
      <c r="I664" s="8">
        <v>45159</v>
      </c>
      <c r="J664" s="10">
        <v>7</v>
      </c>
      <c r="K664" s="2" t="s">
        <v>16</v>
      </c>
      <c r="L664" s="2" t="s">
        <v>25</v>
      </c>
      <c r="M664" s="2" t="s">
        <v>63</v>
      </c>
    </row>
    <row r="665" spans="1:13" customFormat="1" ht="15" x14ac:dyDescent="0.25">
      <c r="D665" s="14"/>
      <c r="E665" s="14"/>
      <c r="F665" s="14"/>
      <c r="G665" s="14"/>
      <c r="H665" s="14"/>
    </row>
    <row r="666" spans="1:13" s="4" customFormat="1" x14ac:dyDescent="0.2">
      <c r="A666" s="3" t="s">
        <v>573</v>
      </c>
      <c r="B666" s="3" t="s">
        <v>574</v>
      </c>
      <c r="C666" s="3" t="s">
        <v>16</v>
      </c>
      <c r="D666" s="5">
        <f>SUBTOTAL(9, D662:D665)</f>
        <v>6851.95</v>
      </c>
      <c r="E666" s="5">
        <f>SUBTOTAL(9, E662:E665)</f>
        <v>6820.03</v>
      </c>
      <c r="F666" s="5">
        <f>SUBTOTAL(9, F662:F665)</f>
        <v>0</v>
      </c>
      <c r="G666" s="5">
        <f>SUBTOTAL(9, G662:G665)</f>
        <v>0</v>
      </c>
      <c r="H666" s="5">
        <f>SUBTOTAL(9, H662:H665)</f>
        <v>13671.98</v>
      </c>
      <c r="I666" s="7"/>
      <c r="J666" s="9"/>
      <c r="K666" s="3" t="s">
        <v>16</v>
      </c>
      <c r="L666" s="3" t="s">
        <v>16</v>
      </c>
      <c r="M666" s="3" t="s">
        <v>63</v>
      </c>
    </row>
    <row r="667" spans="1:13" customFormat="1" ht="15" x14ac:dyDescent="0.25">
      <c r="D667" s="14"/>
      <c r="E667" s="14"/>
      <c r="F667" s="14"/>
      <c r="G667" s="14"/>
      <c r="H667" s="14"/>
    </row>
    <row r="668" spans="1:13" x14ac:dyDescent="0.2">
      <c r="A668" s="2" t="s">
        <v>578</v>
      </c>
      <c r="B668" s="2" t="s">
        <v>579</v>
      </c>
      <c r="C668" s="2" t="s">
        <v>580</v>
      </c>
      <c r="G668" s="6">
        <v>2640.63</v>
      </c>
      <c r="H668" s="6">
        <v>2640.63</v>
      </c>
      <c r="I668" s="8">
        <v>45117</v>
      </c>
      <c r="J668" s="10">
        <v>49</v>
      </c>
      <c r="K668" s="2" t="s">
        <v>16</v>
      </c>
      <c r="L668" s="2" t="s">
        <v>17</v>
      </c>
      <c r="M668" s="2" t="s">
        <v>41</v>
      </c>
    </row>
    <row r="669" spans="1:13" x14ac:dyDescent="0.2">
      <c r="A669" s="2" t="s">
        <v>578</v>
      </c>
      <c r="B669" s="2" t="s">
        <v>579</v>
      </c>
      <c r="C669" s="2" t="s">
        <v>581</v>
      </c>
      <c r="F669" s="6">
        <v>7387.14</v>
      </c>
      <c r="H669" s="6">
        <v>7387.14</v>
      </c>
      <c r="I669" s="8">
        <v>45124</v>
      </c>
      <c r="J669" s="10">
        <v>42</v>
      </c>
      <c r="K669" s="2" t="s">
        <v>16</v>
      </c>
      <c r="L669" s="2" t="s">
        <v>17</v>
      </c>
      <c r="M669" s="2" t="s">
        <v>41</v>
      </c>
    </row>
    <row r="670" spans="1:13" x14ac:dyDescent="0.2">
      <c r="A670" s="2" t="s">
        <v>578</v>
      </c>
      <c r="B670" s="2" t="s">
        <v>579</v>
      </c>
      <c r="C670" s="2" t="s">
        <v>582</v>
      </c>
      <c r="F670" s="6">
        <v>5156.2299999999996</v>
      </c>
      <c r="H670" s="6">
        <v>5156.2299999999996</v>
      </c>
      <c r="I670" s="8">
        <v>45131</v>
      </c>
      <c r="J670" s="10">
        <v>35</v>
      </c>
      <c r="K670" s="2" t="s">
        <v>16</v>
      </c>
      <c r="L670" s="2" t="s">
        <v>17</v>
      </c>
      <c r="M670" s="2" t="s">
        <v>41</v>
      </c>
    </row>
    <row r="671" spans="1:13" x14ac:dyDescent="0.2">
      <c r="A671" s="2" t="s">
        <v>578</v>
      </c>
      <c r="B671" s="2" t="s">
        <v>579</v>
      </c>
      <c r="C671" s="2" t="s">
        <v>583</v>
      </c>
      <c r="E671" s="6">
        <v>8656.2999999999993</v>
      </c>
      <c r="H671" s="6">
        <v>8656.2999999999993</v>
      </c>
      <c r="I671" s="8">
        <v>45138</v>
      </c>
      <c r="J671" s="10">
        <v>28</v>
      </c>
      <c r="K671" s="2" t="s">
        <v>16</v>
      </c>
      <c r="L671" s="2" t="s">
        <v>17</v>
      </c>
      <c r="M671" s="2" t="s">
        <v>41</v>
      </c>
    </row>
    <row r="672" spans="1:13" x14ac:dyDescent="0.2">
      <c r="A672" s="2" t="s">
        <v>578</v>
      </c>
      <c r="B672" s="2" t="s">
        <v>579</v>
      </c>
      <c r="C672" s="2" t="s">
        <v>584</v>
      </c>
      <c r="E672" s="6">
        <v>2096.42</v>
      </c>
      <c r="H672" s="6">
        <v>2096.42</v>
      </c>
      <c r="I672" s="8">
        <v>45145</v>
      </c>
      <c r="J672" s="10">
        <v>21</v>
      </c>
      <c r="K672" s="2" t="s">
        <v>16</v>
      </c>
      <c r="L672" s="2" t="s">
        <v>17</v>
      </c>
      <c r="M672" s="2" t="s">
        <v>41</v>
      </c>
    </row>
    <row r="673" spans="1:13" x14ac:dyDescent="0.2">
      <c r="A673" s="2" t="s">
        <v>578</v>
      </c>
      <c r="B673" s="2" t="s">
        <v>579</v>
      </c>
      <c r="C673" s="2" t="s">
        <v>585</v>
      </c>
      <c r="D673" s="6">
        <v>7248.83</v>
      </c>
      <c r="H673" s="6">
        <v>7248.83</v>
      </c>
      <c r="I673" s="8">
        <v>45152</v>
      </c>
      <c r="J673" s="10">
        <v>14</v>
      </c>
      <c r="K673" s="2" t="s">
        <v>16</v>
      </c>
      <c r="L673" s="2" t="s">
        <v>17</v>
      </c>
      <c r="M673" s="2" t="s">
        <v>41</v>
      </c>
    </row>
    <row r="674" spans="1:13" x14ac:dyDescent="0.2">
      <c r="A674" s="2" t="s">
        <v>578</v>
      </c>
      <c r="B674" s="2" t="s">
        <v>579</v>
      </c>
      <c r="C674" s="2" t="s">
        <v>586</v>
      </c>
      <c r="D674" s="6">
        <v>4922.42</v>
      </c>
      <c r="H674" s="6">
        <v>4922.42</v>
      </c>
      <c r="I674" s="8">
        <v>45159</v>
      </c>
      <c r="J674" s="10">
        <v>7</v>
      </c>
      <c r="K674" s="2" t="s">
        <v>16</v>
      </c>
      <c r="L674" s="2" t="s">
        <v>17</v>
      </c>
      <c r="M674" s="2" t="s">
        <v>41</v>
      </c>
    </row>
    <row r="675" spans="1:13" x14ac:dyDescent="0.2">
      <c r="A675" s="2" t="s">
        <v>578</v>
      </c>
      <c r="B675" s="2" t="s">
        <v>579</v>
      </c>
      <c r="C675" s="2" t="s">
        <v>587</v>
      </c>
      <c r="D675" s="6">
        <v>7550.68</v>
      </c>
      <c r="H675" s="6">
        <v>7550.68</v>
      </c>
      <c r="I675" s="8">
        <v>45166</v>
      </c>
      <c r="K675" s="2" t="s">
        <v>16</v>
      </c>
      <c r="L675" s="2" t="s">
        <v>17</v>
      </c>
      <c r="M675" s="2" t="s">
        <v>41</v>
      </c>
    </row>
    <row r="676" spans="1:13" customFormat="1" ht="15" x14ac:dyDescent="0.25">
      <c r="D676" s="14"/>
      <c r="E676" s="14"/>
      <c r="F676" s="14"/>
      <c r="G676" s="14"/>
      <c r="H676" s="14"/>
    </row>
    <row r="677" spans="1:13" s="4" customFormat="1" x14ac:dyDescent="0.2">
      <c r="A677" s="3" t="s">
        <v>578</v>
      </c>
      <c r="B677" s="3" t="s">
        <v>579</v>
      </c>
      <c r="C677" s="3" t="s">
        <v>16</v>
      </c>
      <c r="D677" s="5">
        <f>SUBTOTAL(9, D668:D676)</f>
        <v>19721.93</v>
      </c>
      <c r="E677" s="5">
        <f>SUBTOTAL(9, E668:E676)</f>
        <v>10752.72</v>
      </c>
      <c r="F677" s="5">
        <f>SUBTOTAL(9, F668:F676)</f>
        <v>12543.369999999999</v>
      </c>
      <c r="G677" s="5">
        <f>SUBTOTAL(9, G668:G676)</f>
        <v>2640.63</v>
      </c>
      <c r="H677" s="5">
        <f>SUBTOTAL(9, H668:H676)</f>
        <v>45658.65</v>
      </c>
      <c r="I677" s="7"/>
      <c r="J677" s="9"/>
      <c r="K677" s="3" t="s">
        <v>16</v>
      </c>
      <c r="L677" s="3" t="s">
        <v>16</v>
      </c>
      <c r="M677" s="3" t="s">
        <v>41</v>
      </c>
    </row>
    <row r="678" spans="1:13" customFormat="1" ht="15" x14ac:dyDescent="0.25">
      <c r="D678" s="14"/>
      <c r="E678" s="14"/>
      <c r="F678" s="14"/>
      <c r="G678" s="14"/>
      <c r="H678" s="14"/>
    </row>
    <row r="679" spans="1:13" x14ac:dyDescent="0.2">
      <c r="A679" s="2" t="s">
        <v>588</v>
      </c>
      <c r="B679" s="2" t="s">
        <v>589</v>
      </c>
      <c r="C679" s="2" t="s">
        <v>590</v>
      </c>
      <c r="G679" s="6">
        <v>2006.42</v>
      </c>
      <c r="H679" s="6">
        <v>2006.42</v>
      </c>
      <c r="I679" s="8">
        <v>44397</v>
      </c>
      <c r="J679" s="10">
        <v>769</v>
      </c>
      <c r="K679" s="2" t="s">
        <v>16</v>
      </c>
      <c r="L679" s="2" t="s">
        <v>25</v>
      </c>
      <c r="M679" s="2" t="s">
        <v>237</v>
      </c>
    </row>
    <row r="680" spans="1:13" customFormat="1" ht="15" x14ac:dyDescent="0.25">
      <c r="D680" s="14"/>
      <c r="E680" s="14"/>
      <c r="F680" s="14"/>
      <c r="G680" s="14"/>
      <c r="H680" s="14"/>
    </row>
    <row r="681" spans="1:13" s="4" customFormat="1" x14ac:dyDescent="0.2">
      <c r="A681" s="3" t="s">
        <v>588</v>
      </c>
      <c r="B681" s="3" t="s">
        <v>589</v>
      </c>
      <c r="C681" s="3" t="s">
        <v>16</v>
      </c>
      <c r="D681" s="5">
        <f>SUBTOTAL(9, D679:D680)</f>
        <v>0</v>
      </c>
      <c r="E681" s="5">
        <f>SUBTOTAL(9, E679:E680)</f>
        <v>0</v>
      </c>
      <c r="F681" s="5">
        <f>SUBTOTAL(9, F679:F680)</f>
        <v>0</v>
      </c>
      <c r="G681" s="5">
        <f>SUBTOTAL(9, G679:G680)</f>
        <v>2006.42</v>
      </c>
      <c r="H681" s="5">
        <f>SUBTOTAL(9, H679:H680)</f>
        <v>2006.42</v>
      </c>
      <c r="I681" s="7"/>
      <c r="J681" s="9"/>
      <c r="K681" s="3" t="s">
        <v>16</v>
      </c>
      <c r="L681" s="3" t="s">
        <v>16</v>
      </c>
      <c r="M681" s="3" t="s">
        <v>237</v>
      </c>
    </row>
    <row r="682" spans="1:13" customFormat="1" ht="15" x14ac:dyDescent="0.25">
      <c r="D682" s="14"/>
      <c r="E682" s="14"/>
      <c r="F682" s="14"/>
      <c r="G682" s="14"/>
      <c r="H682" s="14"/>
    </row>
    <row r="683" spans="1:13" x14ac:dyDescent="0.2">
      <c r="A683" s="2" t="s">
        <v>591</v>
      </c>
      <c r="B683" s="2" t="s">
        <v>592</v>
      </c>
      <c r="C683" s="2" t="s">
        <v>593</v>
      </c>
      <c r="D683" s="6">
        <v>35.35</v>
      </c>
      <c r="H683" s="6">
        <v>35.35</v>
      </c>
      <c r="I683" s="8">
        <v>45155</v>
      </c>
      <c r="J683" s="10">
        <v>11</v>
      </c>
      <c r="K683" s="2" t="s">
        <v>16</v>
      </c>
      <c r="L683" s="2" t="s">
        <v>36</v>
      </c>
      <c r="M683" s="2" t="s">
        <v>63</v>
      </c>
    </row>
    <row r="684" spans="1:13" customFormat="1" ht="15" x14ac:dyDescent="0.25">
      <c r="D684" s="14"/>
      <c r="E684" s="14"/>
      <c r="F684" s="14"/>
      <c r="G684" s="14"/>
      <c r="H684" s="14"/>
    </row>
    <row r="685" spans="1:13" s="4" customFormat="1" x14ac:dyDescent="0.2">
      <c r="A685" s="3" t="s">
        <v>591</v>
      </c>
      <c r="B685" s="3" t="s">
        <v>592</v>
      </c>
      <c r="C685" s="3" t="s">
        <v>16</v>
      </c>
      <c r="D685" s="5">
        <f>SUBTOTAL(9, D683:D684)</f>
        <v>35.35</v>
      </c>
      <c r="E685" s="5">
        <f>SUBTOTAL(9, E683:E684)</f>
        <v>0</v>
      </c>
      <c r="F685" s="5">
        <f>SUBTOTAL(9, F683:F684)</f>
        <v>0</v>
      </c>
      <c r="G685" s="5">
        <f>SUBTOTAL(9, G683:G684)</f>
        <v>0</v>
      </c>
      <c r="H685" s="5">
        <f>SUBTOTAL(9, H683:H684)</f>
        <v>35.35</v>
      </c>
      <c r="I685" s="7"/>
      <c r="J685" s="9"/>
      <c r="K685" s="3" t="s">
        <v>16</v>
      </c>
      <c r="L685" s="3" t="s">
        <v>16</v>
      </c>
      <c r="M685" s="3" t="s">
        <v>63</v>
      </c>
    </row>
    <row r="686" spans="1:13" customFormat="1" ht="15" x14ac:dyDescent="0.25">
      <c r="D686" s="14"/>
      <c r="E686" s="14"/>
      <c r="F686" s="14"/>
      <c r="G686" s="14"/>
      <c r="H686" s="14"/>
    </row>
    <row r="687" spans="1:13" x14ac:dyDescent="0.2">
      <c r="A687" s="2" t="s">
        <v>594</v>
      </c>
      <c r="B687" s="2" t="s">
        <v>595</v>
      </c>
      <c r="C687" s="2" t="s">
        <v>596</v>
      </c>
      <c r="G687" s="6">
        <v>26.92</v>
      </c>
      <c r="H687" s="6">
        <v>26.92</v>
      </c>
      <c r="I687" s="8">
        <v>45089</v>
      </c>
      <c r="J687" s="10">
        <v>77</v>
      </c>
      <c r="K687" s="2" t="s">
        <v>16</v>
      </c>
      <c r="L687" s="2" t="s">
        <v>89</v>
      </c>
      <c r="M687" s="2" t="s">
        <v>98</v>
      </c>
    </row>
    <row r="688" spans="1:13" customFormat="1" ht="15" x14ac:dyDescent="0.25">
      <c r="D688" s="14"/>
      <c r="E688" s="14"/>
      <c r="F688" s="14"/>
      <c r="G688" s="14"/>
      <c r="H688" s="14"/>
    </row>
    <row r="689" spans="1:13" s="4" customFormat="1" x14ac:dyDescent="0.2">
      <c r="A689" s="3" t="s">
        <v>594</v>
      </c>
      <c r="B689" s="3" t="s">
        <v>595</v>
      </c>
      <c r="C689" s="3" t="s">
        <v>16</v>
      </c>
      <c r="D689" s="5">
        <f>SUBTOTAL(9, D687:D688)</f>
        <v>0</v>
      </c>
      <c r="E689" s="5">
        <f>SUBTOTAL(9, E687:E688)</f>
        <v>0</v>
      </c>
      <c r="F689" s="5">
        <f>SUBTOTAL(9, F687:F688)</f>
        <v>0</v>
      </c>
      <c r="G689" s="5">
        <f>SUBTOTAL(9, G687:G688)</f>
        <v>26.92</v>
      </c>
      <c r="H689" s="5">
        <f>SUBTOTAL(9, H687:H688)</f>
        <v>26.92</v>
      </c>
      <c r="I689" s="7"/>
      <c r="J689" s="9"/>
      <c r="K689" s="3" t="s">
        <v>16</v>
      </c>
      <c r="L689" s="3" t="s">
        <v>16</v>
      </c>
      <c r="M689" s="3" t="s">
        <v>98</v>
      </c>
    </row>
    <row r="690" spans="1:13" customFormat="1" ht="15" x14ac:dyDescent="0.25">
      <c r="D690" s="14"/>
      <c r="E690" s="14"/>
      <c r="F690" s="14"/>
      <c r="G690" s="14"/>
      <c r="H690" s="14"/>
    </row>
    <row r="691" spans="1:13" x14ac:dyDescent="0.2">
      <c r="A691" s="2" t="s">
        <v>597</v>
      </c>
      <c r="B691" s="2" t="s">
        <v>598</v>
      </c>
      <c r="C691" s="2" t="s">
        <v>599</v>
      </c>
      <c r="D691" s="6">
        <v>1332.8</v>
      </c>
      <c r="H691" s="6">
        <v>1332.8</v>
      </c>
      <c r="I691" s="8">
        <v>45166</v>
      </c>
      <c r="K691" s="2" t="s">
        <v>16</v>
      </c>
      <c r="L691" s="2" t="s">
        <v>36</v>
      </c>
      <c r="M691" s="2" t="s">
        <v>63</v>
      </c>
    </row>
    <row r="692" spans="1:13" customFormat="1" ht="15" x14ac:dyDescent="0.25">
      <c r="D692" s="14"/>
      <c r="E692" s="14"/>
      <c r="F692" s="14"/>
      <c r="G692" s="14"/>
      <c r="H692" s="14"/>
    </row>
    <row r="693" spans="1:13" s="4" customFormat="1" x14ac:dyDescent="0.2">
      <c r="A693" s="3" t="s">
        <v>597</v>
      </c>
      <c r="B693" s="3" t="s">
        <v>598</v>
      </c>
      <c r="C693" s="3" t="s">
        <v>16</v>
      </c>
      <c r="D693" s="5">
        <f>SUBTOTAL(9, D691:D692)</f>
        <v>1332.8</v>
      </c>
      <c r="E693" s="5">
        <f>SUBTOTAL(9, E691:E692)</f>
        <v>0</v>
      </c>
      <c r="F693" s="5">
        <f>SUBTOTAL(9, F691:F692)</f>
        <v>0</v>
      </c>
      <c r="G693" s="5">
        <f>SUBTOTAL(9, G691:G692)</f>
        <v>0</v>
      </c>
      <c r="H693" s="5">
        <f>SUBTOTAL(9, H691:H692)</f>
        <v>1332.8</v>
      </c>
      <c r="I693" s="7"/>
      <c r="J693" s="9"/>
      <c r="K693" s="3" t="s">
        <v>16</v>
      </c>
      <c r="L693" s="3" t="s">
        <v>16</v>
      </c>
      <c r="M693" s="3" t="s">
        <v>63</v>
      </c>
    </row>
    <row r="694" spans="1:13" customFormat="1" ht="15" x14ac:dyDescent="0.25">
      <c r="D694" s="14"/>
      <c r="E694" s="14"/>
      <c r="F694" s="14"/>
      <c r="G694" s="14"/>
      <c r="H694" s="14"/>
    </row>
    <row r="695" spans="1:13" x14ac:dyDescent="0.2">
      <c r="A695" s="2" t="s">
        <v>600</v>
      </c>
      <c r="B695" s="2" t="s">
        <v>601</v>
      </c>
      <c r="C695" s="2" t="s">
        <v>602</v>
      </c>
      <c r="F695" s="6">
        <v>20.190000000000001</v>
      </c>
      <c r="H695" s="6">
        <v>20.190000000000001</v>
      </c>
      <c r="I695" s="8">
        <v>45132</v>
      </c>
      <c r="J695" s="10">
        <v>34</v>
      </c>
      <c r="K695" s="2" t="s">
        <v>16</v>
      </c>
      <c r="L695" s="2" t="s">
        <v>25</v>
      </c>
      <c r="M695" s="2" t="s">
        <v>237</v>
      </c>
    </row>
    <row r="696" spans="1:13" x14ac:dyDescent="0.2">
      <c r="A696" s="2" t="s">
        <v>600</v>
      </c>
      <c r="B696" s="2" t="s">
        <v>601</v>
      </c>
      <c r="C696" s="2" t="s">
        <v>603</v>
      </c>
      <c r="D696" s="6">
        <v>1987.85</v>
      </c>
      <c r="H696" s="6">
        <v>1987.85</v>
      </c>
      <c r="I696" s="8">
        <v>45160</v>
      </c>
      <c r="J696" s="10">
        <v>6</v>
      </c>
      <c r="K696" s="2" t="s">
        <v>16</v>
      </c>
      <c r="L696" s="2" t="s">
        <v>25</v>
      </c>
      <c r="M696" s="2" t="s">
        <v>237</v>
      </c>
    </row>
    <row r="697" spans="1:13" customFormat="1" ht="15" x14ac:dyDescent="0.25">
      <c r="D697" s="14"/>
      <c r="E697" s="14"/>
      <c r="F697" s="14"/>
      <c r="G697" s="14"/>
      <c r="H697" s="14"/>
    </row>
    <row r="698" spans="1:13" s="4" customFormat="1" x14ac:dyDescent="0.2">
      <c r="A698" s="3" t="s">
        <v>600</v>
      </c>
      <c r="B698" s="3" t="s">
        <v>601</v>
      </c>
      <c r="C698" s="3" t="s">
        <v>16</v>
      </c>
      <c r="D698" s="5">
        <f>SUBTOTAL(9, D695:D697)</f>
        <v>1987.85</v>
      </c>
      <c r="E698" s="5">
        <f>SUBTOTAL(9, E695:E697)</f>
        <v>0</v>
      </c>
      <c r="F698" s="5">
        <f>SUBTOTAL(9, F695:F697)</f>
        <v>20.190000000000001</v>
      </c>
      <c r="G698" s="5">
        <f>SUBTOTAL(9, G695:G697)</f>
        <v>0</v>
      </c>
      <c r="H698" s="5">
        <f>SUBTOTAL(9, H695:H697)</f>
        <v>2008.04</v>
      </c>
      <c r="I698" s="7"/>
      <c r="J698" s="9"/>
      <c r="K698" s="3" t="s">
        <v>16</v>
      </c>
      <c r="L698" s="3" t="s">
        <v>16</v>
      </c>
      <c r="M698" s="3" t="s">
        <v>237</v>
      </c>
    </row>
    <row r="699" spans="1:13" customFormat="1" ht="15" x14ac:dyDescent="0.25">
      <c r="D699" s="14"/>
      <c r="E699" s="14"/>
      <c r="F699" s="14"/>
      <c r="G699" s="14"/>
      <c r="H699" s="14"/>
    </row>
    <row r="700" spans="1:13" x14ac:dyDescent="0.2">
      <c r="A700" s="2" t="s">
        <v>604</v>
      </c>
      <c r="B700" s="2" t="s">
        <v>605</v>
      </c>
      <c r="C700" s="2" t="s">
        <v>606</v>
      </c>
      <c r="D700" s="6">
        <v>144.01</v>
      </c>
      <c r="H700" s="6">
        <v>144.01</v>
      </c>
      <c r="I700" s="8">
        <v>45159</v>
      </c>
      <c r="J700" s="10">
        <v>7</v>
      </c>
      <c r="K700" s="2" t="s">
        <v>16</v>
      </c>
      <c r="L700" s="2" t="s">
        <v>17</v>
      </c>
      <c r="M700" s="2" t="s">
        <v>32</v>
      </c>
    </row>
    <row r="701" spans="1:13" customFormat="1" ht="15" x14ac:dyDescent="0.25">
      <c r="D701" s="14"/>
      <c r="E701" s="14"/>
      <c r="F701" s="14"/>
      <c r="G701" s="14"/>
      <c r="H701" s="14"/>
    </row>
    <row r="702" spans="1:13" s="4" customFormat="1" x14ac:dyDescent="0.2">
      <c r="A702" s="3" t="s">
        <v>604</v>
      </c>
      <c r="B702" s="3" t="s">
        <v>605</v>
      </c>
      <c r="C702" s="3" t="s">
        <v>16</v>
      </c>
      <c r="D702" s="5">
        <f>SUBTOTAL(9, D700:D701)</f>
        <v>144.01</v>
      </c>
      <c r="E702" s="5">
        <f>SUBTOTAL(9, E700:E701)</f>
        <v>0</v>
      </c>
      <c r="F702" s="5">
        <f>SUBTOTAL(9, F700:F701)</f>
        <v>0</v>
      </c>
      <c r="G702" s="5">
        <f>SUBTOTAL(9, G700:G701)</f>
        <v>0</v>
      </c>
      <c r="H702" s="5">
        <f>SUBTOTAL(9, H700:H701)</f>
        <v>144.01</v>
      </c>
      <c r="I702" s="7"/>
      <c r="J702" s="9"/>
      <c r="K702" s="3" t="s">
        <v>16</v>
      </c>
      <c r="L702" s="3" t="s">
        <v>16</v>
      </c>
      <c r="M702" s="3" t="s">
        <v>32</v>
      </c>
    </row>
    <row r="703" spans="1:13" customFormat="1" ht="15" x14ac:dyDescent="0.25">
      <c r="D703" s="14"/>
      <c r="E703" s="14"/>
      <c r="F703" s="14"/>
      <c r="G703" s="14"/>
      <c r="H703" s="14"/>
    </row>
    <row r="704" spans="1:13" x14ac:dyDescent="0.2">
      <c r="A704" s="2" t="s">
        <v>607</v>
      </c>
      <c r="B704" s="2" t="s">
        <v>608</v>
      </c>
      <c r="C704" s="2" t="s">
        <v>609</v>
      </c>
      <c r="D704" s="6">
        <v>2417.5</v>
      </c>
      <c r="H704" s="6">
        <v>2417.5</v>
      </c>
      <c r="I704" s="8">
        <v>45163</v>
      </c>
      <c r="J704" s="10">
        <v>3</v>
      </c>
      <c r="K704" s="2" t="s">
        <v>16</v>
      </c>
      <c r="L704" s="2" t="s">
        <v>25</v>
      </c>
      <c r="M704" s="2" t="s">
        <v>186</v>
      </c>
    </row>
    <row r="705" spans="1:13" customFormat="1" ht="15" x14ac:dyDescent="0.25">
      <c r="D705" s="14"/>
      <c r="E705" s="14"/>
      <c r="F705" s="14"/>
      <c r="G705" s="14"/>
      <c r="H705" s="14"/>
    </row>
    <row r="706" spans="1:13" s="4" customFormat="1" x14ac:dyDescent="0.2">
      <c r="A706" s="3" t="s">
        <v>607</v>
      </c>
      <c r="B706" s="3" t="s">
        <v>608</v>
      </c>
      <c r="C706" s="3" t="s">
        <v>16</v>
      </c>
      <c r="D706" s="5">
        <f>SUBTOTAL(9, D704:D705)</f>
        <v>2417.5</v>
      </c>
      <c r="E706" s="5">
        <f>SUBTOTAL(9, E704:E705)</f>
        <v>0</v>
      </c>
      <c r="F706" s="5">
        <f>SUBTOTAL(9, F704:F705)</f>
        <v>0</v>
      </c>
      <c r="G706" s="5">
        <f>SUBTOTAL(9, G704:G705)</f>
        <v>0</v>
      </c>
      <c r="H706" s="5">
        <f>SUBTOTAL(9, H704:H705)</f>
        <v>2417.5</v>
      </c>
      <c r="I706" s="7"/>
      <c r="J706" s="9"/>
      <c r="K706" s="3" t="s">
        <v>16</v>
      </c>
      <c r="L706" s="3" t="s">
        <v>16</v>
      </c>
      <c r="M706" s="3" t="s">
        <v>186</v>
      </c>
    </row>
    <row r="707" spans="1:13" customFormat="1" ht="15" x14ac:dyDescent="0.25">
      <c r="D707" s="14"/>
      <c r="E707" s="14"/>
      <c r="F707" s="14"/>
      <c r="G707" s="14"/>
      <c r="H707" s="14"/>
    </row>
    <row r="708" spans="1:13" x14ac:dyDescent="0.2">
      <c r="A708" s="2" t="s">
        <v>610</v>
      </c>
      <c r="B708" s="2" t="s">
        <v>611</v>
      </c>
      <c r="C708" s="2" t="s">
        <v>612</v>
      </c>
      <c r="D708" s="6">
        <v>3180.93</v>
      </c>
      <c r="H708" s="6">
        <v>3180.93</v>
      </c>
      <c r="I708" s="8">
        <v>45155</v>
      </c>
      <c r="J708" s="10">
        <v>11</v>
      </c>
      <c r="K708" s="2" t="s">
        <v>16</v>
      </c>
      <c r="L708" s="2" t="s">
        <v>25</v>
      </c>
      <c r="M708" s="2" t="s">
        <v>59</v>
      </c>
    </row>
    <row r="709" spans="1:13" x14ac:dyDescent="0.2">
      <c r="A709" s="2" t="s">
        <v>610</v>
      </c>
      <c r="B709" s="2" t="s">
        <v>611</v>
      </c>
      <c r="C709" s="2" t="s">
        <v>613</v>
      </c>
      <c r="D709" s="6">
        <v>511.18</v>
      </c>
      <c r="H709" s="6">
        <v>511.18</v>
      </c>
      <c r="I709" s="8">
        <v>45162</v>
      </c>
      <c r="J709" s="10">
        <v>4</v>
      </c>
      <c r="K709" s="2" t="s">
        <v>16</v>
      </c>
      <c r="L709" s="2" t="s">
        <v>25</v>
      </c>
      <c r="M709" s="2" t="s">
        <v>59</v>
      </c>
    </row>
    <row r="710" spans="1:13" customFormat="1" ht="15" x14ac:dyDescent="0.25">
      <c r="D710" s="14"/>
      <c r="E710" s="14"/>
      <c r="F710" s="14"/>
      <c r="G710" s="14"/>
      <c r="H710" s="14"/>
    </row>
    <row r="711" spans="1:13" s="4" customFormat="1" x14ac:dyDescent="0.2">
      <c r="A711" s="3" t="s">
        <v>610</v>
      </c>
      <c r="B711" s="3" t="s">
        <v>611</v>
      </c>
      <c r="C711" s="3" t="s">
        <v>16</v>
      </c>
      <c r="D711" s="5">
        <f>SUBTOTAL(9, D708:D710)</f>
        <v>3692.1099999999997</v>
      </c>
      <c r="E711" s="5">
        <f>SUBTOTAL(9, E708:E710)</f>
        <v>0</v>
      </c>
      <c r="F711" s="5">
        <f>SUBTOTAL(9, F708:F710)</f>
        <v>0</v>
      </c>
      <c r="G711" s="5">
        <f>SUBTOTAL(9, G708:G710)</f>
        <v>0</v>
      </c>
      <c r="H711" s="5">
        <f>SUBTOTAL(9, H708:H710)</f>
        <v>3692.1099999999997</v>
      </c>
      <c r="I711" s="7"/>
      <c r="J711" s="9"/>
      <c r="K711" s="3" t="s">
        <v>16</v>
      </c>
      <c r="L711" s="3" t="s">
        <v>16</v>
      </c>
      <c r="M711" s="3" t="s">
        <v>59</v>
      </c>
    </row>
    <row r="712" spans="1:13" customFormat="1" ht="15" x14ac:dyDescent="0.25">
      <c r="D712" s="14"/>
      <c r="E712" s="14"/>
      <c r="F712" s="14"/>
      <c r="G712" s="14"/>
      <c r="H712" s="14"/>
    </row>
    <row r="713" spans="1:13" x14ac:dyDescent="0.2">
      <c r="A713" s="2" t="s">
        <v>614</v>
      </c>
      <c r="B713" s="2" t="s">
        <v>615</v>
      </c>
      <c r="C713" s="2" t="s">
        <v>616</v>
      </c>
      <c r="D713" s="6">
        <v>929.58</v>
      </c>
      <c r="H713" s="6">
        <v>929.58</v>
      </c>
      <c r="I713" s="8">
        <v>45163</v>
      </c>
      <c r="J713" s="10">
        <v>3</v>
      </c>
      <c r="K713" s="2" t="s">
        <v>16</v>
      </c>
      <c r="L713" s="2" t="s">
        <v>36</v>
      </c>
      <c r="M713" s="2" t="s">
        <v>59</v>
      </c>
    </row>
    <row r="714" spans="1:13" customFormat="1" ht="15" x14ac:dyDescent="0.25">
      <c r="D714" s="14"/>
      <c r="E714" s="14"/>
      <c r="F714" s="14"/>
      <c r="G714" s="14"/>
      <c r="H714" s="14"/>
    </row>
    <row r="715" spans="1:13" s="4" customFormat="1" x14ac:dyDescent="0.2">
      <c r="A715" s="3" t="s">
        <v>614</v>
      </c>
      <c r="B715" s="3" t="s">
        <v>615</v>
      </c>
      <c r="C715" s="3" t="s">
        <v>16</v>
      </c>
      <c r="D715" s="5">
        <f>SUBTOTAL(9, D713:D714)</f>
        <v>929.58</v>
      </c>
      <c r="E715" s="5">
        <f>SUBTOTAL(9, E713:E714)</f>
        <v>0</v>
      </c>
      <c r="F715" s="5">
        <f>SUBTOTAL(9, F713:F714)</f>
        <v>0</v>
      </c>
      <c r="G715" s="5">
        <f>SUBTOTAL(9, G713:G714)</f>
        <v>0</v>
      </c>
      <c r="H715" s="5">
        <f>SUBTOTAL(9, H713:H714)</f>
        <v>929.58</v>
      </c>
      <c r="I715" s="7"/>
      <c r="J715" s="9"/>
      <c r="K715" s="3" t="s">
        <v>16</v>
      </c>
      <c r="L715" s="3" t="s">
        <v>16</v>
      </c>
      <c r="M715" s="3" t="s">
        <v>59</v>
      </c>
    </row>
    <row r="716" spans="1:13" customFormat="1" ht="15" x14ac:dyDescent="0.25">
      <c r="D716" s="14"/>
      <c r="E716" s="14"/>
      <c r="F716" s="14"/>
      <c r="G716" s="14"/>
      <c r="H716" s="14"/>
    </row>
    <row r="717" spans="1:13" x14ac:dyDescent="0.2">
      <c r="A717" s="2" t="s">
        <v>617</v>
      </c>
      <c r="B717" s="2" t="s">
        <v>618</v>
      </c>
      <c r="C717" s="2" t="s">
        <v>619</v>
      </c>
      <c r="D717" s="6">
        <v>191.96</v>
      </c>
      <c r="H717" s="6">
        <v>191.96</v>
      </c>
      <c r="I717" s="8">
        <v>45162</v>
      </c>
      <c r="J717" s="10">
        <v>4</v>
      </c>
      <c r="K717" s="2" t="s">
        <v>16</v>
      </c>
      <c r="L717" s="2" t="s">
        <v>36</v>
      </c>
      <c r="M717" s="2" t="s">
        <v>59</v>
      </c>
    </row>
    <row r="718" spans="1:13" customFormat="1" ht="15" x14ac:dyDescent="0.25">
      <c r="D718" s="14"/>
      <c r="E718" s="14"/>
      <c r="F718" s="14"/>
      <c r="G718" s="14"/>
      <c r="H718" s="14"/>
    </row>
    <row r="719" spans="1:13" s="4" customFormat="1" x14ac:dyDescent="0.2">
      <c r="A719" s="3" t="s">
        <v>617</v>
      </c>
      <c r="B719" s="3" t="s">
        <v>618</v>
      </c>
      <c r="C719" s="3" t="s">
        <v>16</v>
      </c>
      <c r="D719" s="5">
        <f>SUBTOTAL(9, D717:D718)</f>
        <v>191.96</v>
      </c>
      <c r="E719" s="5">
        <f>SUBTOTAL(9, E717:E718)</f>
        <v>0</v>
      </c>
      <c r="F719" s="5">
        <f>SUBTOTAL(9, F717:F718)</f>
        <v>0</v>
      </c>
      <c r="G719" s="5">
        <f>SUBTOTAL(9, G717:G718)</f>
        <v>0</v>
      </c>
      <c r="H719" s="5">
        <f>SUBTOTAL(9, H717:H718)</f>
        <v>191.96</v>
      </c>
      <c r="I719" s="7"/>
      <c r="J719" s="9"/>
      <c r="K719" s="3" t="s">
        <v>16</v>
      </c>
      <c r="L719" s="3" t="s">
        <v>16</v>
      </c>
      <c r="M719" s="3" t="s">
        <v>59</v>
      </c>
    </row>
    <row r="720" spans="1:13" customFormat="1" ht="15" x14ac:dyDescent="0.25">
      <c r="D720" s="14"/>
      <c r="E720" s="14"/>
      <c r="F720" s="14"/>
      <c r="G720" s="14"/>
      <c r="H720" s="14"/>
    </row>
    <row r="721" spans="1:13" x14ac:dyDescent="0.2">
      <c r="A721" s="2" t="s">
        <v>620</v>
      </c>
      <c r="B721" s="2" t="s">
        <v>621</v>
      </c>
      <c r="C721" s="2" t="s">
        <v>622</v>
      </c>
      <c r="E721" s="6">
        <v>4373.66</v>
      </c>
      <c r="H721" s="6">
        <v>4373.66</v>
      </c>
      <c r="I721" s="8">
        <v>45138</v>
      </c>
      <c r="J721" s="10">
        <v>28</v>
      </c>
      <c r="K721" s="2" t="s">
        <v>16</v>
      </c>
      <c r="L721" s="2" t="s">
        <v>36</v>
      </c>
      <c r="M721" s="2" t="s">
        <v>98</v>
      </c>
    </row>
    <row r="722" spans="1:13" x14ac:dyDescent="0.2">
      <c r="A722" s="2" t="s">
        <v>620</v>
      </c>
      <c r="B722" s="2" t="s">
        <v>621</v>
      </c>
      <c r="C722" s="2" t="s">
        <v>623</v>
      </c>
      <c r="D722" s="6">
        <v>4327.3</v>
      </c>
      <c r="H722" s="6">
        <v>4327.3</v>
      </c>
      <c r="I722" s="8">
        <v>45166</v>
      </c>
      <c r="K722" s="2" t="s">
        <v>16</v>
      </c>
      <c r="L722" s="2" t="s">
        <v>36</v>
      </c>
      <c r="M722" s="2" t="s">
        <v>98</v>
      </c>
    </row>
    <row r="723" spans="1:13" customFormat="1" ht="15" x14ac:dyDescent="0.25">
      <c r="D723" s="14"/>
      <c r="E723" s="14"/>
      <c r="F723" s="14"/>
      <c r="G723" s="14"/>
      <c r="H723" s="14"/>
    </row>
    <row r="724" spans="1:13" s="4" customFormat="1" x14ac:dyDescent="0.2">
      <c r="A724" s="3" t="s">
        <v>620</v>
      </c>
      <c r="B724" s="3" t="s">
        <v>621</v>
      </c>
      <c r="C724" s="3" t="s">
        <v>16</v>
      </c>
      <c r="D724" s="5">
        <f>SUBTOTAL(9, D721:D723)</f>
        <v>4327.3</v>
      </c>
      <c r="E724" s="5">
        <f>SUBTOTAL(9, E721:E723)</f>
        <v>4373.66</v>
      </c>
      <c r="F724" s="5">
        <f>SUBTOTAL(9, F721:F723)</f>
        <v>0</v>
      </c>
      <c r="G724" s="5">
        <f>SUBTOTAL(9, G721:G723)</f>
        <v>0</v>
      </c>
      <c r="H724" s="5">
        <f>SUBTOTAL(9, H721:H723)</f>
        <v>8700.9599999999991</v>
      </c>
      <c r="I724" s="7"/>
      <c r="J724" s="9"/>
      <c r="K724" s="3" t="s">
        <v>16</v>
      </c>
      <c r="L724" s="3" t="s">
        <v>16</v>
      </c>
      <c r="M724" s="3" t="s">
        <v>98</v>
      </c>
    </row>
    <row r="725" spans="1:13" customFormat="1" ht="15" x14ac:dyDescent="0.25">
      <c r="D725" s="14"/>
      <c r="E725" s="14"/>
      <c r="F725" s="14"/>
      <c r="G725" s="14"/>
      <c r="H725" s="14"/>
    </row>
    <row r="726" spans="1:13" x14ac:dyDescent="0.2">
      <c r="A726" s="2" t="s">
        <v>624</v>
      </c>
      <c r="B726" s="2" t="s">
        <v>625</v>
      </c>
      <c r="C726" s="2" t="s">
        <v>626</v>
      </c>
      <c r="E726" s="6">
        <v>1772.85</v>
      </c>
      <c r="H726" s="6">
        <v>1772.85</v>
      </c>
      <c r="I726" s="8">
        <v>45145</v>
      </c>
      <c r="J726" s="10">
        <v>21</v>
      </c>
      <c r="K726" s="2" t="s">
        <v>78</v>
      </c>
      <c r="L726" s="2" t="s">
        <v>36</v>
      </c>
      <c r="M726" s="2" t="s">
        <v>237</v>
      </c>
    </row>
    <row r="727" spans="1:13" x14ac:dyDescent="0.2">
      <c r="A727" s="2" t="s">
        <v>624</v>
      </c>
      <c r="B727" s="2" t="s">
        <v>625</v>
      </c>
      <c r="C727" s="2" t="s">
        <v>627</v>
      </c>
      <c r="D727" s="6">
        <v>1996.65</v>
      </c>
      <c r="H727" s="6">
        <v>1996.65</v>
      </c>
      <c r="I727" s="8">
        <v>45159</v>
      </c>
      <c r="J727" s="10">
        <v>7</v>
      </c>
      <c r="K727" s="2" t="s">
        <v>16</v>
      </c>
      <c r="L727" s="2" t="s">
        <v>36</v>
      </c>
      <c r="M727" s="2" t="s">
        <v>237</v>
      </c>
    </row>
    <row r="728" spans="1:13" customFormat="1" ht="15" x14ac:dyDescent="0.25">
      <c r="D728" s="14"/>
      <c r="E728" s="14"/>
      <c r="F728" s="14"/>
      <c r="G728" s="14"/>
      <c r="H728" s="14"/>
    </row>
    <row r="729" spans="1:13" s="4" customFormat="1" x14ac:dyDescent="0.2">
      <c r="A729" s="3" t="s">
        <v>624</v>
      </c>
      <c r="B729" s="3" t="s">
        <v>625</v>
      </c>
      <c r="C729" s="3" t="s">
        <v>16</v>
      </c>
      <c r="D729" s="5">
        <f>SUBTOTAL(9, D726:D728)</f>
        <v>1996.65</v>
      </c>
      <c r="E729" s="5">
        <f>SUBTOTAL(9, E726:E728)</f>
        <v>1772.85</v>
      </c>
      <c r="F729" s="5">
        <f>SUBTOTAL(9, F726:F728)</f>
        <v>0</v>
      </c>
      <c r="G729" s="5">
        <f>SUBTOTAL(9, G726:G728)</f>
        <v>0</v>
      </c>
      <c r="H729" s="5">
        <f>SUBTOTAL(9, H726:H728)</f>
        <v>3769.5</v>
      </c>
      <c r="I729" s="7"/>
      <c r="J729" s="9"/>
      <c r="K729" s="3" t="s">
        <v>16</v>
      </c>
      <c r="L729" s="3" t="s">
        <v>16</v>
      </c>
      <c r="M729" s="3" t="s">
        <v>237</v>
      </c>
    </row>
    <row r="730" spans="1:13" customFormat="1" ht="15" x14ac:dyDescent="0.25">
      <c r="D730" s="14"/>
      <c r="E730" s="14"/>
      <c r="F730" s="14"/>
      <c r="G730" s="14"/>
      <c r="H730" s="14"/>
    </row>
    <row r="731" spans="1:13" x14ac:dyDescent="0.2">
      <c r="A731" s="2" t="s">
        <v>628</v>
      </c>
      <c r="B731" s="2" t="s">
        <v>629</v>
      </c>
      <c r="C731" s="2" t="s">
        <v>630</v>
      </c>
      <c r="G731" s="6">
        <v>1300.1199999999999</v>
      </c>
      <c r="H731" s="6">
        <v>1300.1199999999999</v>
      </c>
      <c r="I731" s="8">
        <v>45082</v>
      </c>
      <c r="J731" s="10">
        <v>84</v>
      </c>
      <c r="K731" s="2" t="s">
        <v>331</v>
      </c>
      <c r="L731" s="2" t="s">
        <v>17</v>
      </c>
      <c r="M731" s="2" t="s">
        <v>70</v>
      </c>
    </row>
    <row r="732" spans="1:13" customFormat="1" ht="15" x14ac:dyDescent="0.25">
      <c r="D732" s="14"/>
      <c r="E732" s="14"/>
      <c r="F732" s="14"/>
      <c r="G732" s="14"/>
      <c r="H732" s="14"/>
    </row>
    <row r="733" spans="1:13" s="4" customFormat="1" x14ac:dyDescent="0.2">
      <c r="A733" s="3" t="s">
        <v>628</v>
      </c>
      <c r="B733" s="3" t="s">
        <v>629</v>
      </c>
      <c r="C733" s="3" t="s">
        <v>16</v>
      </c>
      <c r="D733" s="5">
        <f>SUBTOTAL(9, D731:D732)</f>
        <v>0</v>
      </c>
      <c r="E733" s="5">
        <f>SUBTOTAL(9, E731:E732)</f>
        <v>0</v>
      </c>
      <c r="F733" s="5">
        <f>SUBTOTAL(9, F731:F732)</f>
        <v>0</v>
      </c>
      <c r="G733" s="5">
        <f>SUBTOTAL(9, G731:G732)</f>
        <v>1300.1199999999999</v>
      </c>
      <c r="H733" s="5">
        <f>SUBTOTAL(9, H731:H732)</f>
        <v>1300.1199999999999</v>
      </c>
      <c r="I733" s="7"/>
      <c r="J733" s="9"/>
      <c r="K733" s="3" t="s">
        <v>16</v>
      </c>
      <c r="L733" s="3" t="s">
        <v>16</v>
      </c>
      <c r="M733" s="3" t="s">
        <v>70</v>
      </c>
    </row>
    <row r="734" spans="1:13" customFormat="1" ht="15" x14ac:dyDescent="0.25">
      <c r="D734" s="14"/>
      <c r="E734" s="14"/>
      <c r="F734" s="14"/>
      <c r="G734" s="14"/>
      <c r="H734" s="14"/>
    </row>
    <row r="735" spans="1:13" x14ac:dyDescent="0.2">
      <c r="A735" s="2" t="s">
        <v>631</v>
      </c>
      <c r="B735" s="2" t="s">
        <v>632</v>
      </c>
      <c r="C735" s="2" t="s">
        <v>633</v>
      </c>
      <c r="G735" s="6">
        <v>1764.13</v>
      </c>
      <c r="H735" s="6">
        <v>1764.13</v>
      </c>
      <c r="I735" s="8">
        <v>45061</v>
      </c>
      <c r="J735" s="10">
        <v>105</v>
      </c>
      <c r="K735" s="2" t="s">
        <v>16</v>
      </c>
      <c r="L735" s="2" t="s">
        <v>17</v>
      </c>
      <c r="M735" s="2" t="s">
        <v>70</v>
      </c>
    </row>
    <row r="736" spans="1:13" x14ac:dyDescent="0.2">
      <c r="A736" s="2" t="s">
        <v>631</v>
      </c>
      <c r="B736" s="2" t="s">
        <v>632</v>
      </c>
      <c r="C736" s="2" t="s">
        <v>634</v>
      </c>
      <c r="G736" s="6">
        <v>1814.53</v>
      </c>
      <c r="H736" s="6">
        <v>1814.53</v>
      </c>
      <c r="I736" s="8">
        <v>45077</v>
      </c>
      <c r="J736" s="10">
        <v>89</v>
      </c>
      <c r="K736" s="2" t="s">
        <v>16</v>
      </c>
      <c r="L736" s="2" t="s">
        <v>17</v>
      </c>
      <c r="M736" s="2" t="s">
        <v>70</v>
      </c>
    </row>
    <row r="737" spans="1:13" customFormat="1" ht="15" x14ac:dyDescent="0.25">
      <c r="D737" s="14"/>
      <c r="E737" s="14"/>
      <c r="F737" s="14"/>
      <c r="G737" s="14"/>
      <c r="H737" s="14"/>
    </row>
    <row r="738" spans="1:13" s="4" customFormat="1" x14ac:dyDescent="0.2">
      <c r="A738" s="3" t="s">
        <v>631</v>
      </c>
      <c r="B738" s="3" t="s">
        <v>632</v>
      </c>
      <c r="C738" s="3" t="s">
        <v>16</v>
      </c>
      <c r="D738" s="5">
        <f>SUBTOTAL(9, D735:D737)</f>
        <v>0</v>
      </c>
      <c r="E738" s="5">
        <f>SUBTOTAL(9, E735:E737)</f>
        <v>0</v>
      </c>
      <c r="F738" s="5">
        <f>SUBTOTAL(9, F735:F737)</f>
        <v>0</v>
      </c>
      <c r="G738" s="5">
        <f>SUBTOTAL(9, G735:G737)</f>
        <v>3578.66</v>
      </c>
      <c r="H738" s="5">
        <f>SUBTOTAL(9, H735:H737)</f>
        <v>3578.66</v>
      </c>
      <c r="I738" s="7"/>
      <c r="J738" s="9"/>
      <c r="K738" s="3" t="s">
        <v>16</v>
      </c>
      <c r="L738" s="3" t="s">
        <v>16</v>
      </c>
      <c r="M738" s="3" t="s">
        <v>70</v>
      </c>
    </row>
    <row r="739" spans="1:13" customFormat="1" ht="15" x14ac:dyDescent="0.25">
      <c r="D739" s="14"/>
      <c r="E739" s="14"/>
      <c r="F739" s="14"/>
      <c r="G739" s="14"/>
      <c r="H739" s="14"/>
    </row>
    <row r="740" spans="1:13" x14ac:dyDescent="0.2">
      <c r="A740" s="2" t="s">
        <v>635</v>
      </c>
      <c r="B740" s="2" t="s">
        <v>636</v>
      </c>
      <c r="C740" s="2" t="s">
        <v>637</v>
      </c>
      <c r="D740" s="6">
        <v>-2.27</v>
      </c>
      <c r="H740" s="6">
        <v>-2.27</v>
      </c>
      <c r="I740" s="8">
        <v>45162</v>
      </c>
      <c r="J740" s="10">
        <v>4</v>
      </c>
      <c r="K740" s="2" t="s">
        <v>16</v>
      </c>
      <c r="L740" s="2" t="s">
        <v>25</v>
      </c>
      <c r="M740" s="2" t="s">
        <v>59</v>
      </c>
    </row>
    <row r="741" spans="1:13" x14ac:dyDescent="0.2">
      <c r="A741" s="2" t="s">
        <v>635</v>
      </c>
      <c r="B741" s="2" t="s">
        <v>636</v>
      </c>
      <c r="C741" s="2" t="s">
        <v>638</v>
      </c>
      <c r="D741" s="6">
        <v>343.74</v>
      </c>
      <c r="H741" s="6">
        <v>343.74</v>
      </c>
      <c r="I741" s="8">
        <v>45166</v>
      </c>
      <c r="K741" s="2" t="s">
        <v>16</v>
      </c>
      <c r="L741" s="2" t="s">
        <v>25</v>
      </c>
      <c r="M741" s="2" t="s">
        <v>59</v>
      </c>
    </row>
    <row r="742" spans="1:13" customFormat="1" ht="15" x14ac:dyDescent="0.25">
      <c r="D742" s="14"/>
      <c r="E742" s="14"/>
      <c r="F742" s="14"/>
      <c r="G742" s="14"/>
      <c r="H742" s="14"/>
    </row>
    <row r="743" spans="1:13" s="4" customFormat="1" x14ac:dyDescent="0.2">
      <c r="A743" s="3" t="s">
        <v>635</v>
      </c>
      <c r="B743" s="3" t="s">
        <v>636</v>
      </c>
      <c r="C743" s="3" t="s">
        <v>16</v>
      </c>
      <c r="D743" s="5">
        <f>SUBTOTAL(9, D740:D742)</f>
        <v>341.47</v>
      </c>
      <c r="E743" s="5">
        <f>SUBTOTAL(9, E740:E742)</f>
        <v>0</v>
      </c>
      <c r="F743" s="5">
        <f>SUBTOTAL(9, F740:F742)</f>
        <v>0</v>
      </c>
      <c r="G743" s="5">
        <f>SUBTOTAL(9, G740:G742)</f>
        <v>0</v>
      </c>
      <c r="H743" s="5">
        <f>SUBTOTAL(9, H740:H742)</f>
        <v>341.47</v>
      </c>
      <c r="I743" s="7"/>
      <c r="J743" s="9"/>
      <c r="K743" s="3" t="s">
        <v>16</v>
      </c>
      <c r="L743" s="3" t="s">
        <v>16</v>
      </c>
      <c r="M743" s="3" t="s">
        <v>59</v>
      </c>
    </row>
    <row r="744" spans="1:13" customFormat="1" ht="15" x14ac:dyDescent="0.25">
      <c r="D744" s="14"/>
      <c r="E744" s="14"/>
      <c r="F744" s="14"/>
      <c r="G744" s="14"/>
      <c r="H744" s="14"/>
    </row>
    <row r="745" spans="1:13" x14ac:dyDescent="0.2">
      <c r="A745" s="2" t="s">
        <v>639</v>
      </c>
      <c r="B745" s="2" t="s">
        <v>640</v>
      </c>
      <c r="C745" s="2" t="s">
        <v>641</v>
      </c>
      <c r="E745" s="6">
        <v>987.08</v>
      </c>
      <c r="H745" s="6">
        <v>987.08</v>
      </c>
      <c r="I745" s="8">
        <v>45139</v>
      </c>
      <c r="J745" s="10">
        <v>27</v>
      </c>
      <c r="K745" s="2" t="s">
        <v>16</v>
      </c>
      <c r="L745" s="2" t="s">
        <v>17</v>
      </c>
      <c r="M745" s="2" t="s">
        <v>70</v>
      </c>
    </row>
    <row r="746" spans="1:13" customFormat="1" ht="15" x14ac:dyDescent="0.25">
      <c r="D746" s="14"/>
      <c r="E746" s="14"/>
      <c r="F746" s="14"/>
      <c r="G746" s="14"/>
      <c r="H746" s="14"/>
    </row>
    <row r="747" spans="1:13" s="4" customFormat="1" x14ac:dyDescent="0.2">
      <c r="A747" s="3" t="s">
        <v>639</v>
      </c>
      <c r="B747" s="3" t="s">
        <v>640</v>
      </c>
      <c r="C747" s="3" t="s">
        <v>16</v>
      </c>
      <c r="D747" s="5">
        <f>SUBTOTAL(9, D745:D746)</f>
        <v>0</v>
      </c>
      <c r="E747" s="5">
        <f>SUBTOTAL(9, E745:E746)</f>
        <v>987.08</v>
      </c>
      <c r="F747" s="5">
        <f>SUBTOTAL(9, F745:F746)</f>
        <v>0</v>
      </c>
      <c r="G747" s="5">
        <f>SUBTOTAL(9, G745:G746)</f>
        <v>0</v>
      </c>
      <c r="H747" s="5">
        <f>SUBTOTAL(9, H745:H746)</f>
        <v>987.08</v>
      </c>
      <c r="I747" s="7"/>
      <c r="J747" s="9"/>
      <c r="K747" s="3" t="s">
        <v>16</v>
      </c>
      <c r="L747" s="3" t="s">
        <v>16</v>
      </c>
      <c r="M747" s="3" t="s">
        <v>70</v>
      </c>
    </row>
    <row r="748" spans="1:13" customFormat="1" ht="15" x14ac:dyDescent="0.25">
      <c r="D748" s="14"/>
      <c r="E748" s="14"/>
      <c r="F748" s="14"/>
      <c r="G748" s="14"/>
      <c r="H748" s="14"/>
    </row>
    <row r="749" spans="1:13" x14ac:dyDescent="0.2">
      <c r="A749" s="2" t="s">
        <v>642</v>
      </c>
      <c r="B749" s="2" t="s">
        <v>643</v>
      </c>
      <c r="C749" s="2" t="s">
        <v>644</v>
      </c>
      <c r="G749" s="6">
        <v>325.61</v>
      </c>
      <c r="H749" s="6">
        <v>325.61</v>
      </c>
      <c r="I749" s="8">
        <v>45106</v>
      </c>
      <c r="J749" s="10">
        <v>60</v>
      </c>
      <c r="K749" s="2" t="s">
        <v>16</v>
      </c>
      <c r="L749" s="2" t="s">
        <v>17</v>
      </c>
      <c r="M749" s="2" t="s">
        <v>70</v>
      </c>
    </row>
    <row r="750" spans="1:13" x14ac:dyDescent="0.2">
      <c r="A750" s="2" t="s">
        <v>642</v>
      </c>
      <c r="B750" s="2" t="s">
        <v>643</v>
      </c>
      <c r="C750" s="2" t="s">
        <v>645</v>
      </c>
      <c r="G750" s="6">
        <v>325.61</v>
      </c>
      <c r="H750" s="6">
        <v>325.61</v>
      </c>
      <c r="I750" s="8">
        <v>45119</v>
      </c>
      <c r="J750" s="10">
        <v>47</v>
      </c>
      <c r="K750" s="2" t="s">
        <v>16</v>
      </c>
      <c r="L750" s="2" t="s">
        <v>17</v>
      </c>
      <c r="M750" s="2" t="s">
        <v>70</v>
      </c>
    </row>
    <row r="751" spans="1:13" x14ac:dyDescent="0.2">
      <c r="A751" s="2" t="s">
        <v>642</v>
      </c>
      <c r="B751" s="2" t="s">
        <v>643</v>
      </c>
      <c r="C751" s="2" t="s">
        <v>646</v>
      </c>
      <c r="E751" s="6">
        <v>406.03</v>
      </c>
      <c r="H751" s="6">
        <v>406.03</v>
      </c>
      <c r="I751" s="8">
        <v>45138</v>
      </c>
      <c r="J751" s="10">
        <v>28</v>
      </c>
      <c r="K751" s="2" t="s">
        <v>16</v>
      </c>
      <c r="L751" s="2" t="s">
        <v>17</v>
      </c>
      <c r="M751" s="2" t="s">
        <v>70</v>
      </c>
    </row>
    <row r="752" spans="1:13" customFormat="1" ht="15" x14ac:dyDescent="0.25">
      <c r="D752" s="14"/>
      <c r="E752" s="14"/>
      <c r="F752" s="14"/>
      <c r="G752" s="14"/>
      <c r="H752" s="14"/>
    </row>
    <row r="753" spans="1:13" s="4" customFormat="1" x14ac:dyDescent="0.2">
      <c r="A753" s="3" t="s">
        <v>642</v>
      </c>
      <c r="B753" s="3" t="s">
        <v>643</v>
      </c>
      <c r="C753" s="3" t="s">
        <v>16</v>
      </c>
      <c r="D753" s="5">
        <f>SUBTOTAL(9, D749:D752)</f>
        <v>0</v>
      </c>
      <c r="E753" s="5">
        <f>SUBTOTAL(9, E749:E752)</f>
        <v>406.03</v>
      </c>
      <c r="F753" s="5">
        <f>SUBTOTAL(9, F749:F752)</f>
        <v>0</v>
      </c>
      <c r="G753" s="5">
        <f>SUBTOTAL(9, G749:G752)</f>
        <v>651.22</v>
      </c>
      <c r="H753" s="5">
        <f>SUBTOTAL(9, H749:H752)</f>
        <v>1057.25</v>
      </c>
      <c r="I753" s="7"/>
      <c r="J753" s="9"/>
      <c r="K753" s="3" t="s">
        <v>16</v>
      </c>
      <c r="L753" s="3" t="s">
        <v>16</v>
      </c>
      <c r="M753" s="3" t="s">
        <v>70</v>
      </c>
    </row>
    <row r="754" spans="1:13" customFormat="1" ht="15" x14ac:dyDescent="0.25">
      <c r="D754" s="14"/>
      <c r="E754" s="14"/>
      <c r="F754" s="14"/>
      <c r="G754" s="14"/>
      <c r="H754" s="14"/>
    </row>
    <row r="755" spans="1:13" x14ac:dyDescent="0.2">
      <c r="A755" s="2" t="s">
        <v>647</v>
      </c>
      <c r="B755" s="2" t="s">
        <v>648</v>
      </c>
      <c r="C755" s="2" t="s">
        <v>649</v>
      </c>
      <c r="G755" s="6">
        <v>149.99</v>
      </c>
      <c r="H755" s="6">
        <v>149.99</v>
      </c>
      <c r="I755" s="8">
        <v>45105</v>
      </c>
      <c r="J755" s="10">
        <v>61</v>
      </c>
      <c r="K755" s="2" t="s">
        <v>16</v>
      </c>
      <c r="L755" s="2" t="s">
        <v>17</v>
      </c>
      <c r="M755" s="2" t="s">
        <v>70</v>
      </c>
    </row>
    <row r="756" spans="1:13" x14ac:dyDescent="0.2">
      <c r="A756" s="2" t="s">
        <v>647</v>
      </c>
      <c r="B756" s="2" t="s">
        <v>648</v>
      </c>
      <c r="C756" s="2" t="s">
        <v>650</v>
      </c>
      <c r="G756" s="6">
        <v>412.47</v>
      </c>
      <c r="H756" s="6">
        <v>412.47</v>
      </c>
      <c r="I756" s="8">
        <v>45105</v>
      </c>
      <c r="J756" s="10">
        <v>61</v>
      </c>
      <c r="K756" s="2" t="s">
        <v>16</v>
      </c>
      <c r="L756" s="2" t="s">
        <v>17</v>
      </c>
      <c r="M756" s="2" t="s">
        <v>70</v>
      </c>
    </row>
    <row r="757" spans="1:13" x14ac:dyDescent="0.2">
      <c r="A757" s="2" t="s">
        <v>647</v>
      </c>
      <c r="B757" s="2" t="s">
        <v>648</v>
      </c>
      <c r="C757" s="2" t="s">
        <v>651</v>
      </c>
      <c r="G757" s="6">
        <v>882.07</v>
      </c>
      <c r="H757" s="6">
        <v>882.07</v>
      </c>
      <c r="I757" s="8">
        <v>45105</v>
      </c>
      <c r="J757" s="10">
        <v>61</v>
      </c>
      <c r="K757" s="2" t="s">
        <v>16</v>
      </c>
      <c r="L757" s="2" t="s">
        <v>17</v>
      </c>
      <c r="M757" s="2" t="s">
        <v>70</v>
      </c>
    </row>
    <row r="758" spans="1:13" x14ac:dyDescent="0.2">
      <c r="A758" s="2" t="s">
        <v>647</v>
      </c>
      <c r="B758" s="2" t="s">
        <v>648</v>
      </c>
      <c r="C758" s="2" t="s">
        <v>652</v>
      </c>
      <c r="G758" s="6">
        <v>1407.12</v>
      </c>
      <c r="H758" s="6">
        <v>1407.12</v>
      </c>
      <c r="I758" s="8">
        <v>45106</v>
      </c>
      <c r="J758" s="10">
        <v>60</v>
      </c>
      <c r="K758" s="2" t="s">
        <v>16</v>
      </c>
      <c r="L758" s="2" t="s">
        <v>17</v>
      </c>
      <c r="M758" s="2" t="s">
        <v>70</v>
      </c>
    </row>
    <row r="759" spans="1:13" x14ac:dyDescent="0.2">
      <c r="A759" s="2" t="s">
        <v>647</v>
      </c>
      <c r="B759" s="2" t="s">
        <v>648</v>
      </c>
      <c r="C759" s="2" t="s">
        <v>653</v>
      </c>
      <c r="F759" s="6">
        <v>1869.15</v>
      </c>
      <c r="H759" s="6">
        <v>1869.15</v>
      </c>
      <c r="I759" s="8">
        <v>45125</v>
      </c>
      <c r="J759" s="10">
        <v>41</v>
      </c>
      <c r="K759" s="2" t="s">
        <v>16</v>
      </c>
      <c r="L759" s="2" t="s">
        <v>17</v>
      </c>
      <c r="M759" s="2" t="s">
        <v>70</v>
      </c>
    </row>
    <row r="760" spans="1:13" customFormat="1" ht="15" x14ac:dyDescent="0.25">
      <c r="D760" s="14"/>
      <c r="E760" s="14"/>
      <c r="F760" s="14"/>
      <c r="G760" s="14"/>
      <c r="H760" s="14"/>
    </row>
    <row r="761" spans="1:13" s="4" customFormat="1" x14ac:dyDescent="0.2">
      <c r="A761" s="3" t="s">
        <v>647</v>
      </c>
      <c r="B761" s="3" t="s">
        <v>648</v>
      </c>
      <c r="C761" s="3" t="s">
        <v>16</v>
      </c>
      <c r="D761" s="5">
        <f>SUBTOTAL(9, D755:D760)</f>
        <v>0</v>
      </c>
      <c r="E761" s="5">
        <f>SUBTOTAL(9, E755:E760)</f>
        <v>0</v>
      </c>
      <c r="F761" s="5">
        <f>SUBTOTAL(9, F755:F760)</f>
        <v>1869.15</v>
      </c>
      <c r="G761" s="5">
        <f>SUBTOTAL(9, G755:G760)</f>
        <v>2851.65</v>
      </c>
      <c r="H761" s="5">
        <f>SUBTOTAL(9, H755:H760)</f>
        <v>4720.8</v>
      </c>
      <c r="I761" s="7"/>
      <c r="J761" s="9"/>
      <c r="K761" s="3" t="s">
        <v>16</v>
      </c>
      <c r="L761" s="3" t="s">
        <v>16</v>
      </c>
      <c r="M761" s="3" t="s">
        <v>70</v>
      </c>
    </row>
    <row r="762" spans="1:13" customFormat="1" ht="15" x14ac:dyDescent="0.25">
      <c r="D762" s="14"/>
      <c r="E762" s="14"/>
      <c r="F762" s="14"/>
      <c r="G762" s="14"/>
      <c r="H762" s="14"/>
    </row>
    <row r="763" spans="1:13" x14ac:dyDescent="0.2">
      <c r="A763" s="2" t="s">
        <v>654</v>
      </c>
      <c r="B763" s="2" t="s">
        <v>655</v>
      </c>
      <c r="C763" s="2" t="s">
        <v>656</v>
      </c>
      <c r="F763" s="6">
        <v>1379.38</v>
      </c>
      <c r="H763" s="6">
        <v>1379.38</v>
      </c>
      <c r="I763" s="8">
        <v>45128</v>
      </c>
      <c r="J763" s="10">
        <v>38</v>
      </c>
      <c r="K763" s="2" t="s">
        <v>16</v>
      </c>
      <c r="L763" s="2" t="s">
        <v>17</v>
      </c>
      <c r="M763" s="2" t="s">
        <v>70</v>
      </c>
    </row>
    <row r="764" spans="1:13" x14ac:dyDescent="0.2">
      <c r="A764" s="2" t="s">
        <v>654</v>
      </c>
      <c r="B764" s="2" t="s">
        <v>655</v>
      </c>
      <c r="C764" s="2" t="s">
        <v>657</v>
      </c>
      <c r="E764" s="6">
        <v>4336.24</v>
      </c>
      <c r="H764" s="6">
        <v>4336.24</v>
      </c>
      <c r="I764" s="8">
        <v>45138</v>
      </c>
      <c r="J764" s="10">
        <v>28</v>
      </c>
      <c r="K764" s="2" t="s">
        <v>16</v>
      </c>
      <c r="L764" s="2" t="s">
        <v>17</v>
      </c>
      <c r="M764" s="2" t="s">
        <v>70</v>
      </c>
    </row>
    <row r="765" spans="1:13" customFormat="1" ht="15" x14ac:dyDescent="0.25">
      <c r="D765" s="14"/>
      <c r="E765" s="14"/>
      <c r="F765" s="14"/>
      <c r="G765" s="14"/>
      <c r="H765" s="14"/>
    </row>
    <row r="766" spans="1:13" s="4" customFormat="1" x14ac:dyDescent="0.2">
      <c r="A766" s="3" t="s">
        <v>654</v>
      </c>
      <c r="B766" s="3" t="s">
        <v>655</v>
      </c>
      <c r="C766" s="3" t="s">
        <v>16</v>
      </c>
      <c r="D766" s="5">
        <f>SUBTOTAL(9, D763:D765)</f>
        <v>0</v>
      </c>
      <c r="E766" s="5">
        <f>SUBTOTAL(9, E763:E765)</f>
        <v>4336.24</v>
      </c>
      <c r="F766" s="5">
        <f>SUBTOTAL(9, F763:F765)</f>
        <v>1379.38</v>
      </c>
      <c r="G766" s="5">
        <f>SUBTOTAL(9, G763:G765)</f>
        <v>0</v>
      </c>
      <c r="H766" s="5">
        <f>SUBTOTAL(9, H763:H765)</f>
        <v>5715.62</v>
      </c>
      <c r="I766" s="7"/>
      <c r="J766" s="9"/>
      <c r="K766" s="3" t="s">
        <v>16</v>
      </c>
      <c r="L766" s="3" t="s">
        <v>16</v>
      </c>
      <c r="M766" s="3" t="s">
        <v>70</v>
      </c>
    </row>
    <row r="767" spans="1:13" customFormat="1" ht="15" x14ac:dyDescent="0.25">
      <c r="D767" s="14"/>
      <c r="E767" s="14"/>
      <c r="F767" s="14"/>
      <c r="G767" s="14"/>
      <c r="H767" s="14"/>
    </row>
    <row r="768" spans="1:13" x14ac:dyDescent="0.2">
      <c r="A768" s="2" t="s">
        <v>658</v>
      </c>
      <c r="B768" s="2" t="s">
        <v>659</v>
      </c>
      <c r="C768" s="2" t="s">
        <v>660</v>
      </c>
      <c r="G768" s="6">
        <v>-68.819999999999993</v>
      </c>
      <c r="H768" s="6">
        <v>-68.819999999999993</v>
      </c>
      <c r="I768" s="8">
        <v>45113</v>
      </c>
      <c r="J768" s="10">
        <v>53</v>
      </c>
      <c r="K768" s="2" t="s">
        <v>16</v>
      </c>
      <c r="L768" s="2" t="s">
        <v>17</v>
      </c>
      <c r="M768" s="2" t="s">
        <v>63</v>
      </c>
    </row>
    <row r="769" spans="1:13" x14ac:dyDescent="0.2">
      <c r="A769" s="2" t="s">
        <v>658</v>
      </c>
      <c r="B769" s="2" t="s">
        <v>659</v>
      </c>
      <c r="C769" s="2" t="s">
        <v>661</v>
      </c>
      <c r="E769" s="6">
        <v>472.29</v>
      </c>
      <c r="H769" s="6">
        <v>472.29</v>
      </c>
      <c r="I769" s="8">
        <v>45141</v>
      </c>
      <c r="J769" s="10">
        <v>25</v>
      </c>
      <c r="K769" s="2" t="s">
        <v>16</v>
      </c>
      <c r="L769" s="2" t="s">
        <v>17</v>
      </c>
      <c r="M769" s="2" t="s">
        <v>63</v>
      </c>
    </row>
    <row r="770" spans="1:13" x14ac:dyDescent="0.2">
      <c r="A770" s="2" t="s">
        <v>658</v>
      </c>
      <c r="B770" s="2" t="s">
        <v>659</v>
      </c>
      <c r="C770" s="2" t="s">
        <v>662</v>
      </c>
      <c r="D770" s="6">
        <v>8347.99</v>
      </c>
      <c r="H770" s="6">
        <v>8347.99</v>
      </c>
      <c r="I770" s="8">
        <v>45161</v>
      </c>
      <c r="J770" s="10">
        <v>5</v>
      </c>
      <c r="K770" s="2" t="s">
        <v>16</v>
      </c>
      <c r="L770" s="2" t="s">
        <v>17</v>
      </c>
      <c r="M770" s="2" t="s">
        <v>63</v>
      </c>
    </row>
    <row r="771" spans="1:13" customFormat="1" ht="15" x14ac:dyDescent="0.25">
      <c r="D771" s="14"/>
      <c r="E771" s="14"/>
      <c r="F771" s="14"/>
      <c r="G771" s="14"/>
      <c r="H771" s="14"/>
    </row>
    <row r="772" spans="1:13" s="4" customFormat="1" x14ac:dyDescent="0.2">
      <c r="A772" s="3" t="s">
        <v>658</v>
      </c>
      <c r="B772" s="3" t="s">
        <v>659</v>
      </c>
      <c r="C772" s="3" t="s">
        <v>16</v>
      </c>
      <c r="D772" s="5">
        <f>SUBTOTAL(9, D768:D771)</f>
        <v>8347.99</v>
      </c>
      <c r="E772" s="5">
        <f>SUBTOTAL(9, E768:E771)</f>
        <v>472.29</v>
      </c>
      <c r="F772" s="5">
        <f>SUBTOTAL(9, F768:F771)</f>
        <v>0</v>
      </c>
      <c r="G772" s="5">
        <f>SUBTOTAL(9, G768:G771)</f>
        <v>-68.819999999999993</v>
      </c>
      <c r="H772" s="5">
        <f>SUBTOTAL(9, H768:H771)</f>
        <v>8751.4599999999991</v>
      </c>
      <c r="I772" s="7"/>
      <c r="J772" s="9"/>
      <c r="K772" s="3" t="s">
        <v>16</v>
      </c>
      <c r="L772" s="3" t="s">
        <v>16</v>
      </c>
      <c r="M772" s="3" t="s">
        <v>63</v>
      </c>
    </row>
    <row r="773" spans="1:13" customFormat="1" ht="15" x14ac:dyDescent="0.25">
      <c r="D773" s="14"/>
      <c r="E773" s="14"/>
      <c r="F773" s="14"/>
      <c r="G773" s="14"/>
      <c r="H773" s="14"/>
    </row>
    <row r="774" spans="1:13" x14ac:dyDescent="0.2">
      <c r="A774" s="2" t="s">
        <v>663</v>
      </c>
      <c r="B774" s="2" t="s">
        <v>664</v>
      </c>
      <c r="C774" s="2" t="s">
        <v>665</v>
      </c>
      <c r="G774" s="6">
        <v>3575.52</v>
      </c>
      <c r="H774" s="6">
        <v>3575.52</v>
      </c>
      <c r="I774" s="8">
        <v>45070</v>
      </c>
      <c r="J774" s="10">
        <v>96</v>
      </c>
      <c r="K774" s="2" t="s">
        <v>331</v>
      </c>
      <c r="L774" s="2" t="s">
        <v>17</v>
      </c>
      <c r="M774" s="2" t="s">
        <v>70</v>
      </c>
    </row>
    <row r="775" spans="1:13" customFormat="1" ht="15" x14ac:dyDescent="0.25">
      <c r="D775" s="14"/>
      <c r="E775" s="14"/>
      <c r="F775" s="14"/>
      <c r="G775" s="14"/>
      <c r="H775" s="14"/>
    </row>
    <row r="776" spans="1:13" s="4" customFormat="1" x14ac:dyDescent="0.2">
      <c r="A776" s="3" t="s">
        <v>663</v>
      </c>
      <c r="B776" s="3" t="s">
        <v>664</v>
      </c>
      <c r="C776" s="3" t="s">
        <v>16</v>
      </c>
      <c r="D776" s="5">
        <f>SUBTOTAL(9, D774:D775)</f>
        <v>0</v>
      </c>
      <c r="E776" s="5">
        <f>SUBTOTAL(9, E774:E775)</f>
        <v>0</v>
      </c>
      <c r="F776" s="5">
        <f>SUBTOTAL(9, F774:F775)</f>
        <v>0</v>
      </c>
      <c r="G776" s="5">
        <f>SUBTOTAL(9, G774:G775)</f>
        <v>3575.52</v>
      </c>
      <c r="H776" s="5">
        <f>SUBTOTAL(9, H774:H775)</f>
        <v>3575.52</v>
      </c>
      <c r="I776" s="7"/>
      <c r="J776" s="9"/>
      <c r="K776" s="3" t="s">
        <v>16</v>
      </c>
      <c r="L776" s="3" t="s">
        <v>16</v>
      </c>
      <c r="M776" s="3" t="s">
        <v>70</v>
      </c>
    </row>
    <row r="777" spans="1:13" customFormat="1" ht="15" x14ac:dyDescent="0.25">
      <c r="D777" s="14"/>
      <c r="E777" s="14"/>
      <c r="F777" s="14"/>
      <c r="G777" s="14"/>
      <c r="H777" s="14"/>
    </row>
    <row r="778" spans="1:13" x14ac:dyDescent="0.2">
      <c r="A778" s="2" t="s">
        <v>666</v>
      </c>
      <c r="B778" s="2" t="s">
        <v>667</v>
      </c>
      <c r="C778" s="2" t="s">
        <v>668</v>
      </c>
      <c r="D778" s="6">
        <v>715.05</v>
      </c>
      <c r="H778" s="6">
        <v>715.05</v>
      </c>
      <c r="I778" s="8">
        <v>45161</v>
      </c>
      <c r="J778" s="10">
        <v>5</v>
      </c>
      <c r="K778" s="2" t="s">
        <v>16</v>
      </c>
      <c r="L778" s="2" t="s">
        <v>36</v>
      </c>
      <c r="M778" s="2" t="s">
        <v>59</v>
      </c>
    </row>
    <row r="779" spans="1:13" customFormat="1" ht="15" x14ac:dyDescent="0.25">
      <c r="D779" s="14"/>
      <c r="E779" s="14"/>
      <c r="F779" s="14"/>
      <c r="G779" s="14"/>
      <c r="H779" s="14"/>
    </row>
    <row r="780" spans="1:13" s="4" customFormat="1" x14ac:dyDescent="0.2">
      <c r="A780" s="3" t="s">
        <v>666</v>
      </c>
      <c r="B780" s="3" t="s">
        <v>667</v>
      </c>
      <c r="C780" s="3" t="s">
        <v>16</v>
      </c>
      <c r="D780" s="5">
        <f>SUBTOTAL(9, D778:D779)</f>
        <v>715.05</v>
      </c>
      <c r="E780" s="5">
        <f>SUBTOTAL(9, E778:E779)</f>
        <v>0</v>
      </c>
      <c r="F780" s="5">
        <f>SUBTOTAL(9, F778:F779)</f>
        <v>0</v>
      </c>
      <c r="G780" s="5">
        <f>SUBTOTAL(9, G778:G779)</f>
        <v>0</v>
      </c>
      <c r="H780" s="5">
        <f>SUBTOTAL(9, H778:H779)</f>
        <v>715.05</v>
      </c>
      <c r="I780" s="7"/>
      <c r="J780" s="9"/>
      <c r="K780" s="3" t="s">
        <v>16</v>
      </c>
      <c r="L780" s="3" t="s">
        <v>16</v>
      </c>
      <c r="M780" s="3" t="s">
        <v>59</v>
      </c>
    </row>
    <row r="781" spans="1:13" customFormat="1" ht="15" x14ac:dyDescent="0.25">
      <c r="D781" s="14"/>
      <c r="E781" s="14"/>
      <c r="F781" s="14"/>
      <c r="G781" s="14"/>
      <c r="H781" s="14"/>
    </row>
    <row r="782" spans="1:13" x14ac:dyDescent="0.2">
      <c r="A782" s="2" t="s">
        <v>669</v>
      </c>
      <c r="B782" s="2" t="s">
        <v>670</v>
      </c>
      <c r="C782" s="2" t="s">
        <v>671</v>
      </c>
      <c r="E782" s="6">
        <v>1311.97</v>
      </c>
      <c r="H782" s="6">
        <v>1311.97</v>
      </c>
      <c r="I782" s="8">
        <v>45145</v>
      </c>
      <c r="J782" s="10">
        <v>21</v>
      </c>
      <c r="K782" s="2" t="s">
        <v>78</v>
      </c>
      <c r="L782" s="2" t="s">
        <v>25</v>
      </c>
      <c r="M782" s="2" t="s">
        <v>63</v>
      </c>
    </row>
    <row r="783" spans="1:13" x14ac:dyDescent="0.2">
      <c r="A783" s="2" t="s">
        <v>669</v>
      </c>
      <c r="B783" s="2" t="s">
        <v>670</v>
      </c>
      <c r="C783" s="2" t="s">
        <v>672</v>
      </c>
      <c r="D783" s="6">
        <v>1332.8</v>
      </c>
      <c r="H783" s="6">
        <v>1332.8</v>
      </c>
      <c r="I783" s="8">
        <v>45159</v>
      </c>
      <c r="J783" s="10">
        <v>7</v>
      </c>
      <c r="K783" s="2" t="s">
        <v>16</v>
      </c>
      <c r="L783" s="2" t="s">
        <v>25</v>
      </c>
      <c r="M783" s="2" t="s">
        <v>63</v>
      </c>
    </row>
    <row r="784" spans="1:13" customFormat="1" ht="15" x14ac:dyDescent="0.25">
      <c r="D784" s="14"/>
      <c r="E784" s="14"/>
      <c r="F784" s="14"/>
      <c r="G784" s="14"/>
      <c r="H784" s="14"/>
    </row>
    <row r="785" spans="1:13" s="4" customFormat="1" x14ac:dyDescent="0.2">
      <c r="A785" s="3" t="s">
        <v>669</v>
      </c>
      <c r="B785" s="3" t="s">
        <v>670</v>
      </c>
      <c r="C785" s="3" t="s">
        <v>16</v>
      </c>
      <c r="D785" s="5">
        <f>SUBTOTAL(9, D782:D784)</f>
        <v>1332.8</v>
      </c>
      <c r="E785" s="5">
        <f>SUBTOTAL(9, E782:E784)</f>
        <v>1311.97</v>
      </c>
      <c r="F785" s="5">
        <f>SUBTOTAL(9, F782:F784)</f>
        <v>0</v>
      </c>
      <c r="G785" s="5">
        <f>SUBTOTAL(9, G782:G784)</f>
        <v>0</v>
      </c>
      <c r="H785" s="5">
        <f>SUBTOTAL(9, H782:H784)</f>
        <v>2644.77</v>
      </c>
      <c r="I785" s="7"/>
      <c r="J785" s="9"/>
      <c r="K785" s="3" t="s">
        <v>16</v>
      </c>
      <c r="L785" s="3" t="s">
        <v>16</v>
      </c>
      <c r="M785" s="3" t="s">
        <v>63</v>
      </c>
    </row>
    <row r="786" spans="1:13" customFormat="1" ht="15" x14ac:dyDescent="0.25">
      <c r="D786" s="14"/>
      <c r="E786" s="14"/>
      <c r="F786" s="14"/>
      <c r="G786" s="14"/>
      <c r="H786" s="14"/>
    </row>
    <row r="787" spans="1:13" x14ac:dyDescent="0.2">
      <c r="A787" s="2" t="s">
        <v>673</v>
      </c>
      <c r="B787" s="2" t="s">
        <v>674</v>
      </c>
      <c r="C787" s="2" t="s">
        <v>675</v>
      </c>
      <c r="D787" s="6">
        <v>333.2</v>
      </c>
      <c r="H787" s="6">
        <v>333.2</v>
      </c>
      <c r="I787" s="8">
        <v>45159</v>
      </c>
      <c r="J787" s="10">
        <v>7</v>
      </c>
      <c r="K787" s="2" t="s">
        <v>16</v>
      </c>
      <c r="L787" s="2" t="s">
        <v>36</v>
      </c>
      <c r="M787" s="2" t="s">
        <v>63</v>
      </c>
    </row>
    <row r="788" spans="1:13" x14ac:dyDescent="0.2">
      <c r="A788" s="2" t="s">
        <v>673</v>
      </c>
      <c r="B788" s="2" t="s">
        <v>674</v>
      </c>
      <c r="C788" s="2" t="s">
        <v>676</v>
      </c>
      <c r="D788" s="6">
        <v>173.78</v>
      </c>
      <c r="H788" s="6">
        <v>173.78</v>
      </c>
      <c r="I788" s="8">
        <v>45166</v>
      </c>
      <c r="K788" s="2" t="s">
        <v>16</v>
      </c>
      <c r="L788" s="2" t="s">
        <v>36</v>
      </c>
      <c r="M788" s="2" t="s">
        <v>63</v>
      </c>
    </row>
    <row r="789" spans="1:13" customFormat="1" ht="15" x14ac:dyDescent="0.25">
      <c r="D789" s="14"/>
      <c r="E789" s="14"/>
      <c r="F789" s="14"/>
      <c r="G789" s="14"/>
      <c r="H789" s="14"/>
    </row>
    <row r="790" spans="1:13" s="4" customFormat="1" x14ac:dyDescent="0.2">
      <c r="A790" s="3" t="s">
        <v>673</v>
      </c>
      <c r="B790" s="3" t="s">
        <v>674</v>
      </c>
      <c r="C790" s="3" t="s">
        <v>16</v>
      </c>
      <c r="D790" s="5">
        <f>SUBTOTAL(9, D787:D789)</f>
        <v>506.98</v>
      </c>
      <c r="E790" s="5">
        <f>SUBTOTAL(9, E787:E789)</f>
        <v>0</v>
      </c>
      <c r="F790" s="5">
        <f>SUBTOTAL(9, F787:F789)</f>
        <v>0</v>
      </c>
      <c r="G790" s="5">
        <f>SUBTOTAL(9, G787:G789)</f>
        <v>0</v>
      </c>
      <c r="H790" s="5">
        <f>SUBTOTAL(9, H787:H789)</f>
        <v>506.98</v>
      </c>
      <c r="I790" s="7"/>
      <c r="J790" s="9"/>
      <c r="K790" s="3" t="s">
        <v>16</v>
      </c>
      <c r="L790" s="3" t="s">
        <v>16</v>
      </c>
      <c r="M790" s="3" t="s">
        <v>63</v>
      </c>
    </row>
    <row r="791" spans="1:13" customFormat="1" ht="15" x14ac:dyDescent="0.25">
      <c r="D791" s="14"/>
      <c r="E791" s="14"/>
      <c r="F791" s="14"/>
      <c r="G791" s="14"/>
      <c r="H791" s="14"/>
    </row>
    <row r="792" spans="1:13" x14ac:dyDescent="0.2">
      <c r="A792" s="2" t="s">
        <v>677</v>
      </c>
      <c r="B792" s="2" t="s">
        <v>678</v>
      </c>
      <c r="C792" s="2" t="s">
        <v>679</v>
      </c>
      <c r="D792" s="6">
        <v>1517.6</v>
      </c>
      <c r="H792" s="6">
        <v>1517.6</v>
      </c>
      <c r="I792" s="8">
        <v>45159</v>
      </c>
      <c r="J792" s="10">
        <v>7</v>
      </c>
      <c r="K792" s="2" t="s">
        <v>16</v>
      </c>
      <c r="L792" s="2" t="s">
        <v>89</v>
      </c>
      <c r="M792" s="2" t="s">
        <v>98</v>
      </c>
    </row>
    <row r="793" spans="1:13" x14ac:dyDescent="0.2">
      <c r="A793" s="2" t="s">
        <v>677</v>
      </c>
      <c r="B793" s="2" t="s">
        <v>678</v>
      </c>
      <c r="C793" s="2" t="s">
        <v>680</v>
      </c>
      <c r="D793" s="6">
        <v>1517.6</v>
      </c>
      <c r="H793" s="6">
        <v>1517.6</v>
      </c>
      <c r="I793" s="8">
        <v>45166</v>
      </c>
      <c r="K793" s="2" t="s">
        <v>16</v>
      </c>
      <c r="L793" s="2" t="s">
        <v>89</v>
      </c>
      <c r="M793" s="2" t="s">
        <v>98</v>
      </c>
    </row>
    <row r="794" spans="1:13" customFormat="1" ht="15" x14ac:dyDescent="0.25">
      <c r="D794" s="14"/>
      <c r="E794" s="14"/>
      <c r="F794" s="14"/>
      <c r="G794" s="14"/>
      <c r="H794" s="14"/>
    </row>
    <row r="795" spans="1:13" s="4" customFormat="1" x14ac:dyDescent="0.2">
      <c r="A795" s="3" t="s">
        <v>677</v>
      </c>
      <c r="B795" s="3" t="s">
        <v>678</v>
      </c>
      <c r="C795" s="3" t="s">
        <v>16</v>
      </c>
      <c r="D795" s="5">
        <f>SUBTOTAL(9, D792:D794)</f>
        <v>3035.2</v>
      </c>
      <c r="E795" s="5">
        <f>SUBTOTAL(9, E792:E794)</f>
        <v>0</v>
      </c>
      <c r="F795" s="5">
        <f>SUBTOTAL(9, F792:F794)</f>
        <v>0</v>
      </c>
      <c r="G795" s="5">
        <f>SUBTOTAL(9, G792:G794)</f>
        <v>0</v>
      </c>
      <c r="H795" s="5">
        <f>SUBTOTAL(9, H792:H794)</f>
        <v>3035.2</v>
      </c>
      <c r="I795" s="7"/>
      <c r="J795" s="9"/>
      <c r="K795" s="3" t="s">
        <v>16</v>
      </c>
      <c r="L795" s="3" t="s">
        <v>16</v>
      </c>
      <c r="M795" s="3" t="s">
        <v>98</v>
      </c>
    </row>
    <row r="796" spans="1:13" customFormat="1" ht="15" x14ac:dyDescent="0.25">
      <c r="D796" s="14"/>
      <c r="E796" s="14"/>
      <c r="F796" s="14"/>
      <c r="G796" s="14"/>
      <c r="H796" s="14"/>
    </row>
    <row r="797" spans="1:13" x14ac:dyDescent="0.2">
      <c r="A797" s="2" t="s">
        <v>681</v>
      </c>
      <c r="B797" s="2" t="s">
        <v>682</v>
      </c>
      <c r="C797" s="2" t="s">
        <v>683</v>
      </c>
      <c r="E797" s="6">
        <v>666.4</v>
      </c>
      <c r="H797" s="6">
        <v>666.4</v>
      </c>
      <c r="I797" s="8">
        <v>45147</v>
      </c>
      <c r="J797" s="10">
        <v>19</v>
      </c>
      <c r="K797" s="2" t="s">
        <v>16</v>
      </c>
      <c r="L797" s="2" t="s">
        <v>25</v>
      </c>
      <c r="M797" s="2" t="s">
        <v>41</v>
      </c>
    </row>
    <row r="798" spans="1:13" x14ac:dyDescent="0.2">
      <c r="A798" s="2" t="s">
        <v>681</v>
      </c>
      <c r="B798" s="2" t="s">
        <v>682</v>
      </c>
      <c r="C798" s="2" t="s">
        <v>684</v>
      </c>
      <c r="D798" s="6">
        <v>666.4</v>
      </c>
      <c r="H798" s="6">
        <v>666.4</v>
      </c>
      <c r="I798" s="8">
        <v>45155</v>
      </c>
      <c r="J798" s="10">
        <v>11</v>
      </c>
      <c r="K798" s="2" t="s">
        <v>16</v>
      </c>
      <c r="L798" s="2" t="s">
        <v>25</v>
      </c>
      <c r="M798" s="2" t="s">
        <v>41</v>
      </c>
    </row>
    <row r="799" spans="1:13" x14ac:dyDescent="0.2">
      <c r="A799" s="2" t="s">
        <v>681</v>
      </c>
      <c r="B799" s="2" t="s">
        <v>682</v>
      </c>
      <c r="C799" s="2" t="s">
        <v>685</v>
      </c>
      <c r="D799" s="6">
        <v>666.4</v>
      </c>
      <c r="H799" s="6">
        <v>666.4</v>
      </c>
      <c r="I799" s="8">
        <v>45162</v>
      </c>
      <c r="J799" s="10">
        <v>4</v>
      </c>
      <c r="K799" s="2" t="s">
        <v>16</v>
      </c>
      <c r="L799" s="2" t="s">
        <v>25</v>
      </c>
      <c r="M799" s="2" t="s">
        <v>41</v>
      </c>
    </row>
    <row r="800" spans="1:13" customFormat="1" ht="15" x14ac:dyDescent="0.25">
      <c r="D800" s="14"/>
      <c r="E800" s="14"/>
      <c r="F800" s="14"/>
      <c r="G800" s="14"/>
      <c r="H800" s="14"/>
    </row>
    <row r="801" spans="1:13" s="4" customFormat="1" x14ac:dyDescent="0.2">
      <c r="A801" s="3" t="s">
        <v>681</v>
      </c>
      <c r="B801" s="3" t="s">
        <v>682</v>
      </c>
      <c r="C801" s="3" t="s">
        <v>16</v>
      </c>
      <c r="D801" s="5">
        <f>SUBTOTAL(9, D797:D800)</f>
        <v>1332.8</v>
      </c>
      <c r="E801" s="5">
        <f>SUBTOTAL(9, E797:E800)</f>
        <v>666.4</v>
      </c>
      <c r="F801" s="5">
        <f>SUBTOTAL(9, F797:F800)</f>
        <v>0</v>
      </c>
      <c r="G801" s="5">
        <f>SUBTOTAL(9, G797:G800)</f>
        <v>0</v>
      </c>
      <c r="H801" s="5">
        <f>SUBTOTAL(9, H797:H800)</f>
        <v>1999.1999999999998</v>
      </c>
      <c r="I801" s="7"/>
      <c r="J801" s="9"/>
      <c r="K801" s="3" t="s">
        <v>16</v>
      </c>
      <c r="L801" s="3" t="s">
        <v>16</v>
      </c>
      <c r="M801" s="3" t="s">
        <v>41</v>
      </c>
    </row>
    <row r="802" spans="1:13" customFormat="1" ht="15" x14ac:dyDescent="0.25">
      <c r="D802" s="14"/>
      <c r="E802" s="14"/>
      <c r="F802" s="14"/>
      <c r="G802" s="14"/>
      <c r="H802" s="14"/>
    </row>
    <row r="803" spans="1:13" x14ac:dyDescent="0.2">
      <c r="A803" s="2" t="s">
        <v>686</v>
      </c>
      <c r="B803" s="2" t="s">
        <v>687</v>
      </c>
      <c r="C803" s="2" t="s">
        <v>688</v>
      </c>
      <c r="E803" s="6">
        <v>866.32</v>
      </c>
      <c r="H803" s="6">
        <v>866.32</v>
      </c>
      <c r="I803" s="8">
        <v>45145</v>
      </c>
      <c r="J803" s="10">
        <v>21</v>
      </c>
      <c r="K803" s="2" t="s">
        <v>78</v>
      </c>
      <c r="L803" s="2" t="s">
        <v>89</v>
      </c>
      <c r="M803" s="2" t="s">
        <v>26</v>
      </c>
    </row>
    <row r="804" spans="1:13" x14ac:dyDescent="0.2">
      <c r="A804" s="2" t="s">
        <v>686</v>
      </c>
      <c r="B804" s="2" t="s">
        <v>687</v>
      </c>
      <c r="C804" s="2" t="s">
        <v>689</v>
      </c>
      <c r="E804" s="6">
        <v>1199.52</v>
      </c>
      <c r="H804" s="6">
        <v>1199.52</v>
      </c>
      <c r="I804" s="8">
        <v>45147</v>
      </c>
      <c r="J804" s="10">
        <v>19</v>
      </c>
      <c r="K804" s="2" t="s">
        <v>78</v>
      </c>
      <c r="L804" s="2" t="s">
        <v>89</v>
      </c>
      <c r="M804" s="2" t="s">
        <v>26</v>
      </c>
    </row>
    <row r="805" spans="1:13" x14ac:dyDescent="0.2">
      <c r="A805" s="2" t="s">
        <v>686</v>
      </c>
      <c r="B805" s="2" t="s">
        <v>687</v>
      </c>
      <c r="C805" s="2" t="s">
        <v>690</v>
      </c>
      <c r="D805" s="6">
        <v>1199.52</v>
      </c>
      <c r="H805" s="6">
        <v>1199.52</v>
      </c>
      <c r="I805" s="8">
        <v>45155</v>
      </c>
      <c r="J805" s="10">
        <v>11</v>
      </c>
      <c r="K805" s="2" t="s">
        <v>16</v>
      </c>
      <c r="L805" s="2" t="s">
        <v>89</v>
      </c>
      <c r="M805" s="2" t="s">
        <v>26</v>
      </c>
    </row>
    <row r="806" spans="1:13" x14ac:dyDescent="0.2">
      <c r="A806" s="2" t="s">
        <v>686</v>
      </c>
      <c r="B806" s="2" t="s">
        <v>687</v>
      </c>
      <c r="C806" s="2" t="s">
        <v>691</v>
      </c>
      <c r="D806" s="6">
        <v>1052.32</v>
      </c>
      <c r="H806" s="6">
        <v>1052.32</v>
      </c>
      <c r="I806" s="8">
        <v>45162</v>
      </c>
      <c r="J806" s="10">
        <v>4</v>
      </c>
      <c r="K806" s="2" t="s">
        <v>16</v>
      </c>
      <c r="L806" s="2" t="s">
        <v>89</v>
      </c>
      <c r="M806" s="2" t="s">
        <v>26</v>
      </c>
    </row>
    <row r="807" spans="1:13" customFormat="1" ht="15" x14ac:dyDescent="0.25">
      <c r="D807" s="14"/>
      <c r="E807" s="14"/>
      <c r="F807" s="14"/>
      <c r="G807" s="14"/>
      <c r="H807" s="14"/>
    </row>
    <row r="808" spans="1:13" s="4" customFormat="1" x14ac:dyDescent="0.2">
      <c r="A808" s="3" t="s">
        <v>686</v>
      </c>
      <c r="B808" s="3" t="s">
        <v>687</v>
      </c>
      <c r="C808" s="3" t="s">
        <v>16</v>
      </c>
      <c r="D808" s="5">
        <f>SUBTOTAL(9, D803:D807)</f>
        <v>2251.84</v>
      </c>
      <c r="E808" s="5">
        <f>SUBTOTAL(9, E803:E807)</f>
        <v>2065.84</v>
      </c>
      <c r="F808" s="5">
        <f>SUBTOTAL(9, F803:F807)</f>
        <v>0</v>
      </c>
      <c r="G808" s="5">
        <f>SUBTOTAL(9, G803:G807)</f>
        <v>0</v>
      </c>
      <c r="H808" s="5">
        <f>SUBTOTAL(9, H803:H807)</f>
        <v>4317.68</v>
      </c>
      <c r="I808" s="7"/>
      <c r="J808" s="9"/>
      <c r="K808" s="3" t="s">
        <v>16</v>
      </c>
      <c r="L808" s="3" t="s">
        <v>16</v>
      </c>
      <c r="M808" s="3" t="s">
        <v>26</v>
      </c>
    </row>
    <row r="809" spans="1:13" customFormat="1" ht="15" x14ac:dyDescent="0.25">
      <c r="D809" s="14"/>
      <c r="E809" s="14"/>
      <c r="F809" s="14"/>
      <c r="G809" s="14"/>
      <c r="H809" s="14"/>
    </row>
    <row r="810" spans="1:13" x14ac:dyDescent="0.2">
      <c r="A810" s="2" t="s">
        <v>692</v>
      </c>
      <c r="B810" s="2" t="s">
        <v>693</v>
      </c>
      <c r="C810" s="2" t="s">
        <v>694</v>
      </c>
      <c r="E810" s="6">
        <v>1070.51</v>
      </c>
      <c r="H810" s="6">
        <v>1070.51</v>
      </c>
      <c r="I810" s="8">
        <v>45145</v>
      </c>
      <c r="J810" s="10">
        <v>21</v>
      </c>
      <c r="K810" s="2" t="s">
        <v>78</v>
      </c>
      <c r="L810" s="2" t="s">
        <v>25</v>
      </c>
      <c r="M810" s="2" t="s">
        <v>26</v>
      </c>
    </row>
    <row r="811" spans="1:13" customFormat="1" ht="15" x14ac:dyDescent="0.25">
      <c r="D811" s="14"/>
      <c r="E811" s="14"/>
      <c r="F811" s="14"/>
      <c r="G811" s="14"/>
      <c r="H811" s="14"/>
    </row>
    <row r="812" spans="1:13" s="4" customFormat="1" x14ac:dyDescent="0.2">
      <c r="A812" s="3" t="s">
        <v>692</v>
      </c>
      <c r="B812" s="3" t="s">
        <v>693</v>
      </c>
      <c r="C812" s="3" t="s">
        <v>16</v>
      </c>
      <c r="D812" s="5">
        <f>SUBTOTAL(9, D810:D811)</f>
        <v>0</v>
      </c>
      <c r="E812" s="5">
        <f>SUBTOTAL(9, E810:E811)</f>
        <v>1070.51</v>
      </c>
      <c r="F812" s="5">
        <f>SUBTOTAL(9, F810:F811)</f>
        <v>0</v>
      </c>
      <c r="G812" s="5">
        <f>SUBTOTAL(9, G810:G811)</f>
        <v>0</v>
      </c>
      <c r="H812" s="5">
        <f>SUBTOTAL(9, H810:H811)</f>
        <v>1070.51</v>
      </c>
      <c r="I812" s="7"/>
      <c r="J812" s="9"/>
      <c r="K812" s="3" t="s">
        <v>16</v>
      </c>
      <c r="L812" s="3" t="s">
        <v>16</v>
      </c>
      <c r="M812" s="3" t="s">
        <v>26</v>
      </c>
    </row>
    <row r="813" spans="1:13" customFormat="1" ht="15" x14ac:dyDescent="0.25">
      <c r="D813" s="14"/>
      <c r="E813" s="14"/>
      <c r="F813" s="14"/>
      <c r="G813" s="14"/>
      <c r="H813" s="14"/>
    </row>
    <row r="814" spans="1:13" x14ac:dyDescent="0.2">
      <c r="A814" s="2" t="s">
        <v>695</v>
      </c>
      <c r="B814" s="2" t="s">
        <v>696</v>
      </c>
      <c r="C814" s="2" t="s">
        <v>697</v>
      </c>
      <c r="D814" s="6">
        <v>5293.14</v>
      </c>
      <c r="H814" s="6">
        <v>5293.14</v>
      </c>
      <c r="I814" s="8">
        <v>45159</v>
      </c>
      <c r="J814" s="10">
        <v>7</v>
      </c>
      <c r="K814" s="2" t="s">
        <v>16</v>
      </c>
      <c r="L814" s="2" t="s">
        <v>36</v>
      </c>
      <c r="M814" s="2" t="s">
        <v>98</v>
      </c>
    </row>
    <row r="815" spans="1:13" x14ac:dyDescent="0.2">
      <c r="A815" s="2" t="s">
        <v>695</v>
      </c>
      <c r="B815" s="2" t="s">
        <v>696</v>
      </c>
      <c r="C815" s="2" t="s">
        <v>698</v>
      </c>
      <c r="D815" s="6">
        <v>7347.22</v>
      </c>
      <c r="H815" s="6">
        <v>7347.22</v>
      </c>
      <c r="I815" s="8">
        <v>45166</v>
      </c>
      <c r="K815" s="2" t="s">
        <v>16</v>
      </c>
      <c r="L815" s="2" t="s">
        <v>36</v>
      </c>
      <c r="M815" s="2" t="s">
        <v>98</v>
      </c>
    </row>
    <row r="816" spans="1:13" customFormat="1" ht="15" x14ac:dyDescent="0.25">
      <c r="D816" s="14"/>
      <c r="E816" s="14"/>
      <c r="F816" s="14"/>
      <c r="G816" s="14"/>
      <c r="H816" s="14"/>
    </row>
    <row r="817" spans="1:13" s="4" customFormat="1" x14ac:dyDescent="0.2">
      <c r="A817" s="3" t="s">
        <v>695</v>
      </c>
      <c r="B817" s="3" t="s">
        <v>696</v>
      </c>
      <c r="C817" s="3" t="s">
        <v>16</v>
      </c>
      <c r="D817" s="5">
        <f>SUBTOTAL(9, D814:D816)</f>
        <v>12640.36</v>
      </c>
      <c r="E817" s="5">
        <f>SUBTOTAL(9, E814:E816)</f>
        <v>0</v>
      </c>
      <c r="F817" s="5">
        <f>SUBTOTAL(9, F814:F816)</f>
        <v>0</v>
      </c>
      <c r="G817" s="5">
        <f>SUBTOTAL(9, G814:G816)</f>
        <v>0</v>
      </c>
      <c r="H817" s="5">
        <f>SUBTOTAL(9, H814:H816)</f>
        <v>12640.36</v>
      </c>
      <c r="I817" s="7"/>
      <c r="J817" s="9"/>
      <c r="K817" s="3" t="s">
        <v>16</v>
      </c>
      <c r="L817" s="3" t="s">
        <v>16</v>
      </c>
      <c r="M817" s="3" t="s">
        <v>98</v>
      </c>
    </row>
    <row r="818" spans="1:13" customFormat="1" ht="15" x14ac:dyDescent="0.25">
      <c r="D818" s="14"/>
      <c r="E818" s="14"/>
      <c r="F818" s="14"/>
      <c r="G818" s="14"/>
      <c r="H818" s="14"/>
    </row>
    <row r="819" spans="1:13" x14ac:dyDescent="0.2">
      <c r="A819" s="2" t="s">
        <v>699</v>
      </c>
      <c r="B819" s="2" t="s">
        <v>700</v>
      </c>
      <c r="C819" s="2" t="s">
        <v>701</v>
      </c>
      <c r="D819" s="6">
        <v>2688.73</v>
      </c>
      <c r="H819" s="6">
        <v>2688.73</v>
      </c>
      <c r="I819" s="8">
        <v>45161</v>
      </c>
      <c r="J819" s="10">
        <v>5</v>
      </c>
      <c r="K819" s="2" t="s">
        <v>16</v>
      </c>
      <c r="L819" s="2" t="s">
        <v>89</v>
      </c>
      <c r="M819" s="2" t="s">
        <v>26</v>
      </c>
    </row>
    <row r="820" spans="1:13" customFormat="1" ht="15" x14ac:dyDescent="0.25">
      <c r="D820" s="14"/>
      <c r="E820" s="14"/>
      <c r="F820" s="14"/>
      <c r="G820" s="14"/>
      <c r="H820" s="14"/>
    </row>
    <row r="821" spans="1:13" s="4" customFormat="1" x14ac:dyDescent="0.2">
      <c r="A821" s="3" t="s">
        <v>699</v>
      </c>
      <c r="B821" s="3" t="s">
        <v>700</v>
      </c>
      <c r="C821" s="3" t="s">
        <v>16</v>
      </c>
      <c r="D821" s="5">
        <f>SUBTOTAL(9, D819:D820)</f>
        <v>2688.73</v>
      </c>
      <c r="E821" s="5">
        <f>SUBTOTAL(9, E819:E820)</f>
        <v>0</v>
      </c>
      <c r="F821" s="5">
        <f>SUBTOTAL(9, F819:F820)</f>
        <v>0</v>
      </c>
      <c r="G821" s="5">
        <f>SUBTOTAL(9, G819:G820)</f>
        <v>0</v>
      </c>
      <c r="H821" s="5">
        <f>SUBTOTAL(9, H819:H820)</f>
        <v>2688.73</v>
      </c>
      <c r="I821" s="7"/>
      <c r="J821" s="9"/>
      <c r="K821" s="3" t="s">
        <v>16</v>
      </c>
      <c r="L821" s="3" t="s">
        <v>16</v>
      </c>
      <c r="M821" s="3" t="s">
        <v>26</v>
      </c>
    </row>
    <row r="822" spans="1:13" customFormat="1" ht="15" x14ac:dyDescent="0.25">
      <c r="D822" s="14"/>
      <c r="E822" s="14"/>
      <c r="F822" s="14"/>
      <c r="G822" s="14"/>
      <c r="H822" s="14"/>
    </row>
    <row r="823" spans="1:13" x14ac:dyDescent="0.2">
      <c r="A823" s="2" t="s">
        <v>702</v>
      </c>
      <c r="B823" s="2" t="s">
        <v>703</v>
      </c>
      <c r="C823" s="2" t="s">
        <v>704</v>
      </c>
      <c r="E823" s="6">
        <v>1467.54</v>
      </c>
      <c r="H823" s="6">
        <v>1467.54</v>
      </c>
      <c r="I823" s="8">
        <v>45148</v>
      </c>
      <c r="J823" s="10">
        <v>18</v>
      </c>
      <c r="K823" s="2" t="s">
        <v>16</v>
      </c>
      <c r="L823" s="2" t="s">
        <v>36</v>
      </c>
      <c r="M823" s="2" t="s">
        <v>186</v>
      </c>
    </row>
    <row r="824" spans="1:13" x14ac:dyDescent="0.2">
      <c r="A824" s="2" t="s">
        <v>702</v>
      </c>
      <c r="B824" s="2" t="s">
        <v>703</v>
      </c>
      <c r="C824" s="2" t="s">
        <v>705</v>
      </c>
      <c r="D824" s="6">
        <v>2324.4499999999998</v>
      </c>
      <c r="H824" s="6">
        <v>2324.4499999999998</v>
      </c>
      <c r="I824" s="8">
        <v>45159</v>
      </c>
      <c r="J824" s="10">
        <v>7</v>
      </c>
      <c r="K824" s="2" t="s">
        <v>16</v>
      </c>
      <c r="L824" s="2" t="s">
        <v>36</v>
      </c>
      <c r="M824" s="2" t="s">
        <v>186</v>
      </c>
    </row>
    <row r="825" spans="1:13" customFormat="1" ht="15" x14ac:dyDescent="0.25">
      <c r="D825" s="14"/>
      <c r="E825" s="14"/>
      <c r="F825" s="14"/>
      <c r="G825" s="14"/>
      <c r="H825" s="14"/>
    </row>
    <row r="826" spans="1:13" s="4" customFormat="1" x14ac:dyDescent="0.2">
      <c r="A826" s="3" t="s">
        <v>702</v>
      </c>
      <c r="B826" s="3" t="s">
        <v>703</v>
      </c>
      <c r="C826" s="3" t="s">
        <v>16</v>
      </c>
      <c r="D826" s="5">
        <f>SUBTOTAL(9, D823:D825)</f>
        <v>2324.4499999999998</v>
      </c>
      <c r="E826" s="5">
        <f>SUBTOTAL(9, E823:E825)</f>
        <v>1467.54</v>
      </c>
      <c r="F826" s="5">
        <f>SUBTOTAL(9, F823:F825)</f>
        <v>0</v>
      </c>
      <c r="G826" s="5">
        <f>SUBTOTAL(9, G823:G825)</f>
        <v>0</v>
      </c>
      <c r="H826" s="5">
        <f>SUBTOTAL(9, H823:H825)</f>
        <v>3791.99</v>
      </c>
      <c r="I826" s="7"/>
      <c r="J826" s="9"/>
      <c r="K826" s="3" t="s">
        <v>16</v>
      </c>
      <c r="L826" s="3" t="s">
        <v>16</v>
      </c>
      <c r="M826" s="3" t="s">
        <v>186</v>
      </c>
    </row>
    <row r="827" spans="1:13" customFormat="1" ht="15" x14ac:dyDescent="0.25">
      <c r="D827" s="14"/>
      <c r="E827" s="14"/>
      <c r="F827" s="14"/>
      <c r="G827" s="14"/>
      <c r="H827" s="14"/>
    </row>
    <row r="828" spans="1:13" x14ac:dyDescent="0.2">
      <c r="A828" s="2" t="s">
        <v>706</v>
      </c>
      <c r="B828" s="2" t="s">
        <v>707</v>
      </c>
      <c r="C828" s="2" t="s">
        <v>708</v>
      </c>
      <c r="D828" s="6">
        <v>7627.91</v>
      </c>
      <c r="H828" s="6">
        <v>7627.91</v>
      </c>
      <c r="I828" s="8">
        <v>45160</v>
      </c>
      <c r="J828" s="10">
        <v>6</v>
      </c>
      <c r="K828" s="2" t="s">
        <v>16</v>
      </c>
      <c r="L828" s="2" t="s">
        <v>17</v>
      </c>
      <c r="M828" s="2" t="s">
        <v>237</v>
      </c>
    </row>
    <row r="829" spans="1:13" customFormat="1" ht="15" x14ac:dyDescent="0.25">
      <c r="D829" s="14"/>
      <c r="E829" s="14"/>
      <c r="F829" s="14"/>
      <c r="G829" s="14"/>
      <c r="H829" s="14"/>
    </row>
    <row r="830" spans="1:13" s="4" customFormat="1" x14ac:dyDescent="0.2">
      <c r="A830" s="3" t="s">
        <v>706</v>
      </c>
      <c r="B830" s="3" t="s">
        <v>707</v>
      </c>
      <c r="C830" s="3" t="s">
        <v>16</v>
      </c>
      <c r="D830" s="5">
        <f>SUBTOTAL(9, D828:D829)</f>
        <v>7627.91</v>
      </c>
      <c r="E830" s="5">
        <f>SUBTOTAL(9, E828:E829)</f>
        <v>0</v>
      </c>
      <c r="F830" s="5">
        <f>SUBTOTAL(9, F828:F829)</f>
        <v>0</v>
      </c>
      <c r="G830" s="5">
        <f>SUBTOTAL(9, G828:G829)</f>
        <v>0</v>
      </c>
      <c r="H830" s="5">
        <f>SUBTOTAL(9, H828:H829)</f>
        <v>7627.91</v>
      </c>
      <c r="I830" s="7"/>
      <c r="J830" s="9"/>
      <c r="K830" s="3" t="s">
        <v>16</v>
      </c>
      <c r="L830" s="3" t="s">
        <v>16</v>
      </c>
      <c r="M830" s="3" t="s">
        <v>237</v>
      </c>
    </row>
    <row r="831" spans="1:13" customFormat="1" ht="15" x14ac:dyDescent="0.25">
      <c r="D831" s="14"/>
      <c r="E831" s="14"/>
      <c r="F831" s="14"/>
      <c r="G831" s="14"/>
      <c r="H831" s="14"/>
    </row>
    <row r="832" spans="1:13" x14ac:dyDescent="0.2">
      <c r="A832" s="2" t="s">
        <v>709</v>
      </c>
      <c r="B832" s="2" t="s">
        <v>710</v>
      </c>
      <c r="C832" s="2" t="s">
        <v>711</v>
      </c>
      <c r="G832" s="6">
        <v>506.5</v>
      </c>
      <c r="H832" s="6">
        <v>506.5</v>
      </c>
      <c r="I832" s="8">
        <v>45070</v>
      </c>
      <c r="J832" s="10">
        <v>96</v>
      </c>
      <c r="K832" s="2" t="s">
        <v>331</v>
      </c>
      <c r="L832" s="2" t="s">
        <v>17</v>
      </c>
      <c r="M832" s="2" t="s">
        <v>70</v>
      </c>
    </row>
    <row r="833" spans="1:13" x14ac:dyDescent="0.2">
      <c r="A833" s="2" t="s">
        <v>709</v>
      </c>
      <c r="B833" s="2" t="s">
        <v>710</v>
      </c>
      <c r="C833" s="2" t="s">
        <v>712</v>
      </c>
      <c r="G833" s="6">
        <v>361.79</v>
      </c>
      <c r="H833" s="6">
        <v>361.79</v>
      </c>
      <c r="I833" s="8">
        <v>45084</v>
      </c>
      <c r="J833" s="10">
        <v>82</v>
      </c>
      <c r="K833" s="2" t="s">
        <v>331</v>
      </c>
      <c r="L833" s="2" t="s">
        <v>17</v>
      </c>
      <c r="M833" s="2" t="s">
        <v>70</v>
      </c>
    </row>
    <row r="834" spans="1:13" customFormat="1" ht="15" x14ac:dyDescent="0.25">
      <c r="D834" s="14"/>
      <c r="E834" s="14"/>
      <c r="F834" s="14"/>
      <c r="G834" s="14"/>
      <c r="H834" s="14"/>
    </row>
    <row r="835" spans="1:13" s="4" customFormat="1" x14ac:dyDescent="0.2">
      <c r="A835" s="3" t="s">
        <v>709</v>
      </c>
      <c r="B835" s="3" t="s">
        <v>710</v>
      </c>
      <c r="C835" s="3" t="s">
        <v>16</v>
      </c>
      <c r="D835" s="5">
        <f>SUBTOTAL(9, D832:D834)</f>
        <v>0</v>
      </c>
      <c r="E835" s="5">
        <f>SUBTOTAL(9, E832:E834)</f>
        <v>0</v>
      </c>
      <c r="F835" s="5">
        <f>SUBTOTAL(9, F832:F834)</f>
        <v>0</v>
      </c>
      <c r="G835" s="5">
        <f>SUBTOTAL(9, G832:G834)</f>
        <v>868.29</v>
      </c>
      <c r="H835" s="5">
        <f>SUBTOTAL(9, H832:H834)</f>
        <v>868.29</v>
      </c>
      <c r="I835" s="7"/>
      <c r="J835" s="9"/>
      <c r="K835" s="3" t="s">
        <v>16</v>
      </c>
      <c r="L835" s="3" t="s">
        <v>16</v>
      </c>
      <c r="M835" s="3" t="s">
        <v>70</v>
      </c>
    </row>
    <row r="836" spans="1:13" customFormat="1" ht="15" x14ac:dyDescent="0.25">
      <c r="D836" s="14"/>
      <c r="E836" s="14"/>
      <c r="F836" s="14"/>
      <c r="G836" s="14"/>
      <c r="H836" s="14"/>
    </row>
    <row r="837" spans="1:13" x14ac:dyDescent="0.2">
      <c r="A837" s="2" t="s">
        <v>713</v>
      </c>
      <c r="B837" s="2" t="s">
        <v>714</v>
      </c>
      <c r="C837" s="2" t="s">
        <v>715</v>
      </c>
      <c r="D837" s="6">
        <v>904.42</v>
      </c>
      <c r="H837" s="6">
        <v>904.42</v>
      </c>
      <c r="I837" s="8">
        <v>45152</v>
      </c>
      <c r="J837" s="10">
        <v>14</v>
      </c>
      <c r="K837" s="2" t="s">
        <v>16</v>
      </c>
      <c r="L837" s="2" t="s">
        <v>36</v>
      </c>
      <c r="M837" s="2" t="s">
        <v>63</v>
      </c>
    </row>
    <row r="838" spans="1:13" x14ac:dyDescent="0.2">
      <c r="A838" s="2" t="s">
        <v>713</v>
      </c>
      <c r="B838" s="2" t="s">
        <v>714</v>
      </c>
      <c r="C838" s="2" t="s">
        <v>716</v>
      </c>
      <c r="D838" s="6">
        <v>775.22</v>
      </c>
      <c r="H838" s="6">
        <v>775.22</v>
      </c>
      <c r="I838" s="8">
        <v>45166</v>
      </c>
      <c r="K838" s="2" t="s">
        <v>16</v>
      </c>
      <c r="L838" s="2" t="s">
        <v>36</v>
      </c>
      <c r="M838" s="2" t="s">
        <v>63</v>
      </c>
    </row>
    <row r="839" spans="1:13" customFormat="1" ht="15" x14ac:dyDescent="0.25">
      <c r="D839" s="14"/>
      <c r="E839" s="14"/>
      <c r="F839" s="14"/>
      <c r="G839" s="14"/>
      <c r="H839" s="14"/>
    </row>
    <row r="840" spans="1:13" s="4" customFormat="1" x14ac:dyDescent="0.2">
      <c r="A840" s="3" t="s">
        <v>713</v>
      </c>
      <c r="B840" s="3" t="s">
        <v>714</v>
      </c>
      <c r="C840" s="3" t="s">
        <v>16</v>
      </c>
      <c r="D840" s="5">
        <f>SUBTOTAL(9, D837:D839)</f>
        <v>1679.6399999999999</v>
      </c>
      <c r="E840" s="5">
        <f>SUBTOTAL(9, E837:E839)</f>
        <v>0</v>
      </c>
      <c r="F840" s="5">
        <f>SUBTOTAL(9, F837:F839)</f>
        <v>0</v>
      </c>
      <c r="G840" s="5">
        <f>SUBTOTAL(9, G837:G839)</f>
        <v>0</v>
      </c>
      <c r="H840" s="5">
        <f>SUBTOTAL(9, H837:H839)</f>
        <v>1679.6399999999999</v>
      </c>
      <c r="I840" s="7"/>
      <c r="J840" s="9"/>
      <c r="K840" s="3" t="s">
        <v>16</v>
      </c>
      <c r="L840" s="3" t="s">
        <v>16</v>
      </c>
      <c r="M840" s="3" t="s">
        <v>63</v>
      </c>
    </row>
    <row r="841" spans="1:13" customFormat="1" ht="15" x14ac:dyDescent="0.25">
      <c r="D841" s="14"/>
      <c r="E841" s="14"/>
      <c r="F841" s="14"/>
      <c r="G841" s="14"/>
      <c r="H841" s="14"/>
    </row>
    <row r="842" spans="1:13" x14ac:dyDescent="0.2">
      <c r="A842" s="2" t="s">
        <v>717</v>
      </c>
      <c r="B842" s="2" t="s">
        <v>718</v>
      </c>
      <c r="C842" s="2" t="s">
        <v>719</v>
      </c>
      <c r="D842" s="6">
        <v>300.01</v>
      </c>
      <c r="H842" s="6">
        <v>300.01</v>
      </c>
      <c r="I842" s="8">
        <v>45166</v>
      </c>
      <c r="K842" s="2" t="s">
        <v>16</v>
      </c>
      <c r="L842" s="2" t="s">
        <v>36</v>
      </c>
      <c r="M842" s="2" t="s">
        <v>59</v>
      </c>
    </row>
    <row r="843" spans="1:13" x14ac:dyDescent="0.2">
      <c r="A843" s="2" t="s">
        <v>717</v>
      </c>
      <c r="B843" s="2" t="s">
        <v>718</v>
      </c>
      <c r="C843" s="2" t="s">
        <v>720</v>
      </c>
      <c r="D843" s="6">
        <v>365.02</v>
      </c>
      <c r="H843" s="6">
        <v>365.02</v>
      </c>
      <c r="I843" s="8">
        <v>45166</v>
      </c>
      <c r="K843" s="2" t="s">
        <v>16</v>
      </c>
      <c r="L843" s="2" t="s">
        <v>36</v>
      </c>
      <c r="M843" s="2" t="s">
        <v>59</v>
      </c>
    </row>
    <row r="844" spans="1:13" customFormat="1" ht="15" x14ac:dyDescent="0.25">
      <c r="D844" s="14"/>
      <c r="E844" s="14"/>
      <c r="F844" s="14"/>
      <c r="G844" s="14"/>
      <c r="H844" s="14"/>
    </row>
    <row r="845" spans="1:13" s="4" customFormat="1" x14ac:dyDescent="0.2">
      <c r="A845" s="3" t="s">
        <v>717</v>
      </c>
      <c r="B845" s="3" t="s">
        <v>718</v>
      </c>
      <c r="C845" s="3" t="s">
        <v>16</v>
      </c>
      <c r="D845" s="5">
        <f>SUBTOTAL(9, D842:D844)</f>
        <v>665.03</v>
      </c>
      <c r="E845" s="5">
        <f>SUBTOTAL(9, E842:E844)</f>
        <v>0</v>
      </c>
      <c r="F845" s="5">
        <f>SUBTOTAL(9, F842:F844)</f>
        <v>0</v>
      </c>
      <c r="G845" s="5">
        <f>SUBTOTAL(9, G842:G844)</f>
        <v>0</v>
      </c>
      <c r="H845" s="5">
        <f>SUBTOTAL(9, H842:H844)</f>
        <v>665.03</v>
      </c>
      <c r="I845" s="7"/>
      <c r="J845" s="9"/>
      <c r="K845" s="3" t="s">
        <v>16</v>
      </c>
      <c r="L845" s="3" t="s">
        <v>16</v>
      </c>
      <c r="M845" s="3" t="s">
        <v>59</v>
      </c>
    </row>
    <row r="846" spans="1:13" customFormat="1" ht="15" x14ac:dyDescent="0.25">
      <c r="D846" s="14"/>
      <c r="E846" s="14"/>
      <c r="F846" s="14"/>
      <c r="G846" s="14"/>
      <c r="H846" s="14"/>
    </row>
    <row r="847" spans="1:13" x14ac:dyDescent="0.2">
      <c r="A847" s="2" t="s">
        <v>721</v>
      </c>
      <c r="B847" s="2" t="s">
        <v>722</v>
      </c>
      <c r="C847" s="2" t="s">
        <v>723</v>
      </c>
      <c r="F847" s="6">
        <v>144.01</v>
      </c>
      <c r="H847" s="6">
        <v>144.01</v>
      </c>
      <c r="I847" s="8">
        <v>45132</v>
      </c>
      <c r="J847" s="10">
        <v>34</v>
      </c>
      <c r="K847" s="2" t="s">
        <v>16</v>
      </c>
      <c r="L847" s="2" t="s">
        <v>17</v>
      </c>
      <c r="M847" s="2" t="s">
        <v>32</v>
      </c>
    </row>
    <row r="848" spans="1:13" x14ac:dyDescent="0.2">
      <c r="A848" s="2" t="s">
        <v>721</v>
      </c>
      <c r="B848" s="2" t="s">
        <v>722</v>
      </c>
      <c r="C848" s="2" t="s">
        <v>724</v>
      </c>
      <c r="D848" s="6">
        <v>74.22</v>
      </c>
      <c r="H848" s="6">
        <v>74.22</v>
      </c>
      <c r="I848" s="8">
        <v>45153</v>
      </c>
      <c r="J848" s="10">
        <v>13</v>
      </c>
      <c r="K848" s="2" t="s">
        <v>16</v>
      </c>
      <c r="L848" s="2" t="s">
        <v>17</v>
      </c>
      <c r="M848" s="2" t="s">
        <v>32</v>
      </c>
    </row>
    <row r="849" spans="1:13" customFormat="1" ht="15" x14ac:dyDescent="0.25">
      <c r="D849" s="14"/>
      <c r="E849" s="14"/>
      <c r="F849" s="14"/>
      <c r="G849" s="14"/>
      <c r="H849" s="14"/>
    </row>
    <row r="850" spans="1:13" s="4" customFormat="1" x14ac:dyDescent="0.2">
      <c r="A850" s="3" t="s">
        <v>721</v>
      </c>
      <c r="B850" s="3" t="s">
        <v>722</v>
      </c>
      <c r="C850" s="3" t="s">
        <v>16</v>
      </c>
      <c r="D850" s="5">
        <f>SUBTOTAL(9, D847:D849)</f>
        <v>74.22</v>
      </c>
      <c r="E850" s="5">
        <f>SUBTOTAL(9, E847:E849)</f>
        <v>0</v>
      </c>
      <c r="F850" s="5">
        <f>SUBTOTAL(9, F847:F849)</f>
        <v>144.01</v>
      </c>
      <c r="G850" s="5">
        <f>SUBTOTAL(9, G847:G849)</f>
        <v>0</v>
      </c>
      <c r="H850" s="5">
        <f>SUBTOTAL(9, H847:H849)</f>
        <v>218.23</v>
      </c>
      <c r="I850" s="7"/>
      <c r="J850" s="9"/>
      <c r="K850" s="3" t="s">
        <v>16</v>
      </c>
      <c r="L850" s="3" t="s">
        <v>16</v>
      </c>
      <c r="M850" s="3" t="s">
        <v>32</v>
      </c>
    </row>
    <row r="851" spans="1:13" customFormat="1" ht="15" x14ac:dyDescent="0.25">
      <c r="D851" s="14"/>
      <c r="E851" s="14"/>
      <c r="F851" s="14"/>
      <c r="G851" s="14"/>
      <c r="H851" s="14"/>
    </row>
    <row r="852" spans="1:13" x14ac:dyDescent="0.2">
      <c r="A852" s="2" t="s">
        <v>725</v>
      </c>
      <c r="B852" s="2" t="s">
        <v>726</v>
      </c>
      <c r="C852" s="2" t="s">
        <v>727</v>
      </c>
      <c r="F852" s="6">
        <v>2681</v>
      </c>
      <c r="H852" s="6">
        <v>2681</v>
      </c>
      <c r="I852" s="8">
        <v>45124</v>
      </c>
      <c r="J852" s="10">
        <v>42</v>
      </c>
      <c r="K852" s="2" t="s">
        <v>16</v>
      </c>
      <c r="L852" s="2" t="s">
        <v>17</v>
      </c>
      <c r="M852" s="2" t="s">
        <v>63</v>
      </c>
    </row>
    <row r="853" spans="1:13" x14ac:dyDescent="0.2">
      <c r="A853" s="2" t="s">
        <v>725</v>
      </c>
      <c r="B853" s="2" t="s">
        <v>726</v>
      </c>
      <c r="C853" s="2" t="s">
        <v>728</v>
      </c>
      <c r="F853" s="6">
        <v>5593.2</v>
      </c>
      <c r="H853" s="6">
        <v>5593.2</v>
      </c>
      <c r="I853" s="8">
        <v>45131</v>
      </c>
      <c r="J853" s="10">
        <v>35</v>
      </c>
      <c r="K853" s="2" t="s">
        <v>16</v>
      </c>
      <c r="L853" s="2" t="s">
        <v>17</v>
      </c>
      <c r="M853" s="2" t="s">
        <v>63</v>
      </c>
    </row>
    <row r="854" spans="1:13" x14ac:dyDescent="0.2">
      <c r="A854" s="2" t="s">
        <v>725</v>
      </c>
      <c r="B854" s="2" t="s">
        <v>726</v>
      </c>
      <c r="C854" s="2" t="s">
        <v>729</v>
      </c>
      <c r="E854" s="6">
        <v>2558.35</v>
      </c>
      <c r="H854" s="6">
        <v>2558.35</v>
      </c>
      <c r="I854" s="8">
        <v>45138</v>
      </c>
      <c r="J854" s="10">
        <v>28</v>
      </c>
      <c r="K854" s="2" t="s">
        <v>16</v>
      </c>
      <c r="L854" s="2" t="s">
        <v>17</v>
      </c>
      <c r="M854" s="2" t="s">
        <v>63</v>
      </c>
    </row>
    <row r="855" spans="1:13" x14ac:dyDescent="0.2">
      <c r="A855" s="2" t="s">
        <v>725</v>
      </c>
      <c r="B855" s="2" t="s">
        <v>726</v>
      </c>
      <c r="C855" s="2" t="s">
        <v>730</v>
      </c>
      <c r="E855" s="6">
        <v>4079.96</v>
      </c>
      <c r="H855" s="6">
        <v>4079.96</v>
      </c>
      <c r="I855" s="8">
        <v>45145</v>
      </c>
      <c r="J855" s="10">
        <v>21</v>
      </c>
      <c r="K855" s="2" t="s">
        <v>16</v>
      </c>
      <c r="L855" s="2" t="s">
        <v>17</v>
      </c>
      <c r="M855" s="2" t="s">
        <v>63</v>
      </c>
    </row>
    <row r="856" spans="1:13" x14ac:dyDescent="0.2">
      <c r="A856" s="2" t="s">
        <v>725</v>
      </c>
      <c r="B856" s="2" t="s">
        <v>726</v>
      </c>
      <c r="C856" s="2" t="s">
        <v>731</v>
      </c>
      <c r="D856" s="6">
        <v>3804.73</v>
      </c>
      <c r="H856" s="6">
        <v>3804.73</v>
      </c>
      <c r="I856" s="8">
        <v>45152</v>
      </c>
      <c r="J856" s="10">
        <v>14</v>
      </c>
      <c r="K856" s="2" t="s">
        <v>16</v>
      </c>
      <c r="L856" s="2" t="s">
        <v>17</v>
      </c>
      <c r="M856" s="2" t="s">
        <v>63</v>
      </c>
    </row>
    <row r="857" spans="1:13" x14ac:dyDescent="0.2">
      <c r="A857" s="2" t="s">
        <v>725</v>
      </c>
      <c r="B857" s="2" t="s">
        <v>726</v>
      </c>
      <c r="C857" s="2" t="s">
        <v>732</v>
      </c>
      <c r="D857" s="6">
        <v>3729.06</v>
      </c>
      <c r="H857" s="6">
        <v>3729.06</v>
      </c>
      <c r="I857" s="8">
        <v>45159</v>
      </c>
      <c r="J857" s="10">
        <v>7</v>
      </c>
      <c r="K857" s="2" t="s">
        <v>16</v>
      </c>
      <c r="L857" s="2" t="s">
        <v>17</v>
      </c>
      <c r="M857" s="2" t="s">
        <v>63</v>
      </c>
    </row>
    <row r="858" spans="1:13" x14ac:dyDescent="0.2">
      <c r="A858" s="2" t="s">
        <v>725</v>
      </c>
      <c r="B858" s="2" t="s">
        <v>726</v>
      </c>
      <c r="C858" s="2" t="s">
        <v>733</v>
      </c>
      <c r="D858" s="6">
        <v>3618.92</v>
      </c>
      <c r="H858" s="6">
        <v>3618.92</v>
      </c>
      <c r="I858" s="8">
        <v>45166</v>
      </c>
      <c r="K858" s="2" t="s">
        <v>16</v>
      </c>
      <c r="L858" s="2" t="s">
        <v>17</v>
      </c>
      <c r="M858" s="2" t="s">
        <v>63</v>
      </c>
    </row>
    <row r="859" spans="1:13" customFormat="1" ht="15" x14ac:dyDescent="0.25">
      <c r="D859" s="14"/>
      <c r="E859" s="14"/>
      <c r="F859" s="14"/>
      <c r="G859" s="14"/>
      <c r="H859" s="14"/>
    </row>
    <row r="860" spans="1:13" s="4" customFormat="1" x14ac:dyDescent="0.2">
      <c r="A860" s="3" t="s">
        <v>725</v>
      </c>
      <c r="B860" s="3" t="s">
        <v>726</v>
      </c>
      <c r="C860" s="3" t="s">
        <v>16</v>
      </c>
      <c r="D860" s="5">
        <f>SUBTOTAL(9, D852:D859)</f>
        <v>11152.71</v>
      </c>
      <c r="E860" s="5">
        <f>SUBTOTAL(9, E852:E859)</f>
        <v>6638.3099999999995</v>
      </c>
      <c r="F860" s="5">
        <f>SUBTOTAL(9, F852:F859)</f>
        <v>8274.2000000000007</v>
      </c>
      <c r="G860" s="5">
        <f>SUBTOTAL(9, G852:G859)</f>
        <v>0</v>
      </c>
      <c r="H860" s="5">
        <f>SUBTOTAL(9, H852:H859)</f>
        <v>26065.22</v>
      </c>
      <c r="I860" s="7"/>
      <c r="J860" s="9"/>
      <c r="K860" s="3" t="s">
        <v>16</v>
      </c>
      <c r="L860" s="3" t="s">
        <v>16</v>
      </c>
      <c r="M860" s="3" t="s">
        <v>63</v>
      </c>
    </row>
    <row r="861" spans="1:13" customFormat="1" ht="15" x14ac:dyDescent="0.25">
      <c r="D861" s="14"/>
      <c r="E861" s="14"/>
      <c r="F861" s="14"/>
      <c r="G861" s="14"/>
      <c r="H861" s="14"/>
    </row>
    <row r="862" spans="1:13" x14ac:dyDescent="0.2">
      <c r="A862" s="2" t="s">
        <v>734</v>
      </c>
      <c r="B862" s="2" t="s">
        <v>735</v>
      </c>
      <c r="C862" s="2" t="s">
        <v>736</v>
      </c>
      <c r="E862" s="6">
        <v>1526.32</v>
      </c>
      <c r="H862" s="6">
        <v>1526.32</v>
      </c>
      <c r="I862" s="8">
        <v>45145</v>
      </c>
      <c r="J862" s="10">
        <v>21</v>
      </c>
      <c r="K862" s="2" t="s">
        <v>16</v>
      </c>
      <c r="L862" s="2" t="s">
        <v>17</v>
      </c>
      <c r="M862" s="2" t="s">
        <v>63</v>
      </c>
    </row>
    <row r="863" spans="1:13" customFormat="1" ht="15" x14ac:dyDescent="0.25">
      <c r="D863" s="14"/>
      <c r="E863" s="14"/>
      <c r="F863" s="14"/>
      <c r="G863" s="14"/>
      <c r="H863" s="14"/>
    </row>
    <row r="864" spans="1:13" s="4" customFormat="1" x14ac:dyDescent="0.2">
      <c r="A864" s="3" t="s">
        <v>734</v>
      </c>
      <c r="B864" s="3" t="s">
        <v>735</v>
      </c>
      <c r="C864" s="3" t="s">
        <v>16</v>
      </c>
      <c r="D864" s="5">
        <f>SUBTOTAL(9, D862:D863)</f>
        <v>0</v>
      </c>
      <c r="E864" s="5">
        <f>SUBTOTAL(9, E862:E863)</f>
        <v>1526.32</v>
      </c>
      <c r="F864" s="5">
        <f>SUBTOTAL(9, F862:F863)</f>
        <v>0</v>
      </c>
      <c r="G864" s="5">
        <f>SUBTOTAL(9, G862:G863)</f>
        <v>0</v>
      </c>
      <c r="H864" s="5">
        <f>SUBTOTAL(9, H862:H863)</f>
        <v>1526.32</v>
      </c>
      <c r="I864" s="7"/>
      <c r="J864" s="9"/>
      <c r="K864" s="3" t="s">
        <v>16</v>
      </c>
      <c r="L864" s="3" t="s">
        <v>16</v>
      </c>
      <c r="M864" s="3" t="s">
        <v>63</v>
      </c>
    </row>
    <row r="865" spans="1:13" customFormat="1" ht="15" x14ac:dyDescent="0.25">
      <c r="D865" s="14"/>
      <c r="E865" s="14"/>
      <c r="F865" s="14"/>
      <c r="G865" s="14"/>
      <c r="H865" s="14"/>
    </row>
    <row r="866" spans="1:13" x14ac:dyDescent="0.2">
      <c r="A866" s="2" t="s">
        <v>737</v>
      </c>
      <c r="B866" s="2" t="s">
        <v>738</v>
      </c>
      <c r="C866" s="2" t="s">
        <v>739</v>
      </c>
      <c r="G866" s="6">
        <v>2525.56</v>
      </c>
      <c r="H866" s="6">
        <v>2525.56</v>
      </c>
      <c r="I866" s="8">
        <v>44221</v>
      </c>
      <c r="J866" s="10">
        <v>945</v>
      </c>
      <c r="K866" s="2" t="s">
        <v>16</v>
      </c>
      <c r="L866" s="2" t="s">
        <v>740</v>
      </c>
      <c r="M866" s="2" t="s">
        <v>98</v>
      </c>
    </row>
    <row r="867" spans="1:13" x14ac:dyDescent="0.2">
      <c r="A867" s="2" t="s">
        <v>737</v>
      </c>
      <c r="B867" s="2" t="s">
        <v>738</v>
      </c>
      <c r="C867" s="2" t="s">
        <v>741</v>
      </c>
      <c r="G867" s="6">
        <v>2600.19</v>
      </c>
      <c r="H867" s="6">
        <v>2600.19</v>
      </c>
      <c r="I867" s="8">
        <v>44235</v>
      </c>
      <c r="J867" s="10">
        <v>931</v>
      </c>
      <c r="K867" s="2" t="s">
        <v>16</v>
      </c>
      <c r="L867" s="2" t="s">
        <v>740</v>
      </c>
      <c r="M867" s="2" t="s">
        <v>98</v>
      </c>
    </row>
    <row r="868" spans="1:13" customFormat="1" ht="15" x14ac:dyDescent="0.25">
      <c r="D868" s="14"/>
      <c r="E868" s="14"/>
      <c r="F868" s="14"/>
      <c r="G868" s="14"/>
      <c r="H868" s="14"/>
    </row>
    <row r="869" spans="1:13" s="4" customFormat="1" x14ac:dyDescent="0.2">
      <c r="A869" s="3" t="s">
        <v>737</v>
      </c>
      <c r="B869" s="3" t="s">
        <v>738</v>
      </c>
      <c r="C869" s="3" t="s">
        <v>16</v>
      </c>
      <c r="D869" s="5">
        <f>SUBTOTAL(9, D866:D868)</f>
        <v>0</v>
      </c>
      <c r="E869" s="5">
        <f>SUBTOTAL(9, E866:E868)</f>
        <v>0</v>
      </c>
      <c r="F869" s="5">
        <f>SUBTOTAL(9, F866:F868)</f>
        <v>0</v>
      </c>
      <c r="G869" s="5">
        <f>SUBTOTAL(9, G866:G868)</f>
        <v>5125.75</v>
      </c>
      <c r="H869" s="5">
        <f>SUBTOTAL(9, H866:H868)</f>
        <v>5125.75</v>
      </c>
      <c r="I869" s="7"/>
      <c r="J869" s="9"/>
      <c r="K869" s="3" t="s">
        <v>16</v>
      </c>
      <c r="L869" s="3" t="s">
        <v>16</v>
      </c>
      <c r="M869" s="3" t="s">
        <v>98</v>
      </c>
    </row>
    <row r="870" spans="1:13" customFormat="1" ht="15" x14ac:dyDescent="0.25">
      <c r="D870" s="14"/>
      <c r="E870" s="14"/>
      <c r="F870" s="14"/>
      <c r="G870" s="14"/>
      <c r="H870" s="14"/>
    </row>
    <row r="871" spans="1:13" x14ac:dyDescent="0.2">
      <c r="A871" s="2" t="s">
        <v>742</v>
      </c>
      <c r="B871" s="2" t="s">
        <v>743</v>
      </c>
      <c r="C871" s="2" t="s">
        <v>744</v>
      </c>
      <c r="G871" s="6">
        <v>2024.4</v>
      </c>
      <c r="H871" s="6">
        <v>2024.4</v>
      </c>
      <c r="I871" s="8">
        <v>45090</v>
      </c>
      <c r="J871" s="10">
        <v>76</v>
      </c>
      <c r="K871" s="2" t="s">
        <v>16</v>
      </c>
      <c r="L871" s="2" t="s">
        <v>17</v>
      </c>
      <c r="M871" s="2" t="s">
        <v>70</v>
      </c>
    </row>
    <row r="872" spans="1:13" customFormat="1" ht="15" x14ac:dyDescent="0.25">
      <c r="D872" s="14"/>
      <c r="E872" s="14"/>
      <c r="F872" s="14"/>
      <c r="G872" s="14"/>
      <c r="H872" s="14"/>
    </row>
    <row r="873" spans="1:13" s="4" customFormat="1" x14ac:dyDescent="0.2">
      <c r="A873" s="3" t="s">
        <v>742</v>
      </c>
      <c r="B873" s="3" t="s">
        <v>743</v>
      </c>
      <c r="C873" s="3" t="s">
        <v>16</v>
      </c>
      <c r="D873" s="5">
        <f>SUBTOTAL(9, D871:D872)</f>
        <v>0</v>
      </c>
      <c r="E873" s="5">
        <f>SUBTOTAL(9, E871:E872)</f>
        <v>0</v>
      </c>
      <c r="F873" s="5">
        <f>SUBTOTAL(9, F871:F872)</f>
        <v>0</v>
      </c>
      <c r="G873" s="5">
        <f>SUBTOTAL(9, G871:G872)</f>
        <v>2024.4</v>
      </c>
      <c r="H873" s="5">
        <f>SUBTOTAL(9, H871:H872)</f>
        <v>2024.4</v>
      </c>
      <c r="I873" s="7"/>
      <c r="J873" s="9"/>
      <c r="K873" s="3" t="s">
        <v>16</v>
      </c>
      <c r="L873" s="3" t="s">
        <v>16</v>
      </c>
      <c r="M873" s="3" t="s">
        <v>70</v>
      </c>
    </row>
    <row r="874" spans="1:13" customFormat="1" ht="15" x14ac:dyDescent="0.25">
      <c r="D874" s="14"/>
      <c r="E874" s="14"/>
      <c r="F874" s="14"/>
      <c r="G874" s="14"/>
      <c r="H874" s="14"/>
    </row>
    <row r="875" spans="1:13" x14ac:dyDescent="0.2">
      <c r="A875" s="2" t="s">
        <v>745</v>
      </c>
      <c r="B875" s="2" t="s">
        <v>746</v>
      </c>
      <c r="C875" s="2" t="s">
        <v>747</v>
      </c>
      <c r="D875" s="6">
        <v>193.8</v>
      </c>
      <c r="H875" s="6">
        <v>193.8</v>
      </c>
      <c r="I875" s="8">
        <v>45155</v>
      </c>
      <c r="J875" s="10">
        <v>11</v>
      </c>
      <c r="K875" s="2" t="s">
        <v>16</v>
      </c>
      <c r="L875" s="2" t="s">
        <v>36</v>
      </c>
      <c r="M875" s="2" t="s">
        <v>26</v>
      </c>
    </row>
    <row r="876" spans="1:13" customFormat="1" ht="15" x14ac:dyDescent="0.25">
      <c r="D876" s="14"/>
      <c r="E876" s="14"/>
      <c r="F876" s="14"/>
      <c r="G876" s="14"/>
      <c r="H876" s="14"/>
    </row>
    <row r="877" spans="1:13" s="4" customFormat="1" x14ac:dyDescent="0.2">
      <c r="A877" s="3" t="s">
        <v>745</v>
      </c>
      <c r="B877" s="3" t="s">
        <v>746</v>
      </c>
      <c r="C877" s="3" t="s">
        <v>16</v>
      </c>
      <c r="D877" s="5">
        <f>SUBTOTAL(9, D875:D876)</f>
        <v>193.8</v>
      </c>
      <c r="E877" s="5">
        <f>SUBTOTAL(9, E875:E876)</f>
        <v>0</v>
      </c>
      <c r="F877" s="5">
        <f>SUBTOTAL(9, F875:F876)</f>
        <v>0</v>
      </c>
      <c r="G877" s="5">
        <f>SUBTOTAL(9, G875:G876)</f>
        <v>0</v>
      </c>
      <c r="H877" s="5">
        <f>SUBTOTAL(9, H875:H876)</f>
        <v>193.8</v>
      </c>
      <c r="I877" s="7"/>
      <c r="J877" s="9"/>
      <c r="K877" s="3" t="s">
        <v>16</v>
      </c>
      <c r="L877" s="3" t="s">
        <v>16</v>
      </c>
      <c r="M877" s="3" t="s">
        <v>26</v>
      </c>
    </row>
    <row r="878" spans="1:13" customFormat="1" ht="15" x14ac:dyDescent="0.25">
      <c r="D878" s="14"/>
      <c r="E878" s="14"/>
      <c r="F878" s="14"/>
      <c r="G878" s="14"/>
      <c r="H878" s="14"/>
    </row>
    <row r="879" spans="1:13" x14ac:dyDescent="0.2">
      <c r="A879" s="2" t="s">
        <v>748</v>
      </c>
      <c r="B879" s="2" t="s">
        <v>749</v>
      </c>
      <c r="C879" s="2" t="s">
        <v>750</v>
      </c>
      <c r="D879" s="6">
        <v>3080.92</v>
      </c>
      <c r="H879" s="6">
        <v>3080.92</v>
      </c>
      <c r="I879" s="8">
        <v>45159</v>
      </c>
      <c r="J879" s="10">
        <v>7</v>
      </c>
      <c r="K879" s="2" t="s">
        <v>16</v>
      </c>
      <c r="L879" s="2" t="s">
        <v>25</v>
      </c>
      <c r="M879" s="2" t="s">
        <v>237</v>
      </c>
    </row>
    <row r="880" spans="1:13" customFormat="1" ht="15" x14ac:dyDescent="0.25">
      <c r="D880" s="14"/>
      <c r="E880" s="14"/>
      <c r="F880" s="14"/>
      <c r="G880" s="14"/>
      <c r="H880" s="14"/>
    </row>
    <row r="881" spans="1:13" s="4" customFormat="1" x14ac:dyDescent="0.2">
      <c r="A881" s="3" t="s">
        <v>748</v>
      </c>
      <c r="B881" s="3" t="s">
        <v>749</v>
      </c>
      <c r="C881" s="3" t="s">
        <v>16</v>
      </c>
      <c r="D881" s="5">
        <f>SUBTOTAL(9, D879:D880)</f>
        <v>3080.92</v>
      </c>
      <c r="E881" s="5">
        <f>SUBTOTAL(9, E879:E880)</f>
        <v>0</v>
      </c>
      <c r="F881" s="5">
        <f>SUBTOTAL(9, F879:F880)</f>
        <v>0</v>
      </c>
      <c r="G881" s="5">
        <f>SUBTOTAL(9, G879:G880)</f>
        <v>0</v>
      </c>
      <c r="H881" s="5">
        <f>SUBTOTAL(9, H879:H880)</f>
        <v>3080.92</v>
      </c>
      <c r="I881" s="7"/>
      <c r="J881" s="9"/>
      <c r="K881" s="3" t="s">
        <v>16</v>
      </c>
      <c r="L881" s="3" t="s">
        <v>16</v>
      </c>
      <c r="M881" s="3" t="s">
        <v>237</v>
      </c>
    </row>
    <row r="882" spans="1:13" customFormat="1" ht="15" x14ac:dyDescent="0.25">
      <c r="D882" s="14"/>
      <c r="E882" s="14"/>
      <c r="F882" s="14"/>
      <c r="G882" s="14"/>
      <c r="H882" s="14"/>
    </row>
    <row r="883" spans="1:13" x14ac:dyDescent="0.2">
      <c r="A883" s="2" t="s">
        <v>751</v>
      </c>
      <c r="B883" s="2" t="s">
        <v>752</v>
      </c>
      <c r="C883" s="2" t="s">
        <v>753</v>
      </c>
      <c r="F883" s="6">
        <v>-46.82</v>
      </c>
      <c r="H883" s="6">
        <v>-46.82</v>
      </c>
      <c r="I883" s="8">
        <v>45131</v>
      </c>
      <c r="J883" s="10">
        <v>35</v>
      </c>
      <c r="K883" s="2" t="s">
        <v>78</v>
      </c>
      <c r="L883" s="2" t="s">
        <v>36</v>
      </c>
      <c r="M883" s="2" t="s">
        <v>63</v>
      </c>
    </row>
    <row r="884" spans="1:13" customFormat="1" ht="15" x14ac:dyDescent="0.25">
      <c r="D884" s="14"/>
      <c r="E884" s="14"/>
      <c r="F884" s="14"/>
      <c r="G884" s="14"/>
      <c r="H884" s="14"/>
    </row>
    <row r="885" spans="1:13" s="4" customFormat="1" x14ac:dyDescent="0.2">
      <c r="A885" s="3" t="s">
        <v>751</v>
      </c>
      <c r="B885" s="3" t="s">
        <v>752</v>
      </c>
      <c r="C885" s="3" t="s">
        <v>16</v>
      </c>
      <c r="D885" s="5">
        <f>SUBTOTAL(9, D883:D884)</f>
        <v>0</v>
      </c>
      <c r="E885" s="5">
        <f>SUBTOTAL(9, E883:E884)</f>
        <v>0</v>
      </c>
      <c r="F885" s="5">
        <f>SUBTOTAL(9, F883:F884)</f>
        <v>-46.82</v>
      </c>
      <c r="G885" s="5">
        <f>SUBTOTAL(9, G883:G884)</f>
        <v>0</v>
      </c>
      <c r="H885" s="5">
        <f>SUBTOTAL(9, H883:H884)</f>
        <v>-46.82</v>
      </c>
      <c r="I885" s="7"/>
      <c r="J885" s="9"/>
      <c r="K885" s="3" t="s">
        <v>16</v>
      </c>
      <c r="L885" s="3" t="s">
        <v>16</v>
      </c>
      <c r="M885" s="3" t="s">
        <v>63</v>
      </c>
    </row>
    <row r="886" spans="1:13" customFormat="1" ht="15" x14ac:dyDescent="0.25">
      <c r="D886" s="14"/>
      <c r="E886" s="14"/>
      <c r="F886" s="14"/>
      <c r="G886" s="14"/>
      <c r="H886" s="14"/>
    </row>
    <row r="887" spans="1:13" x14ac:dyDescent="0.2">
      <c r="A887" s="2" t="s">
        <v>754</v>
      </c>
      <c r="B887" s="2" t="s">
        <v>755</v>
      </c>
      <c r="C887" s="2" t="s">
        <v>756</v>
      </c>
      <c r="F887" s="6">
        <v>4.32</v>
      </c>
      <c r="H887" s="6">
        <v>4.32</v>
      </c>
      <c r="I887" s="8">
        <v>45133</v>
      </c>
      <c r="J887" s="10">
        <v>33</v>
      </c>
      <c r="K887" s="2" t="s">
        <v>16</v>
      </c>
      <c r="L887" s="2" t="s">
        <v>36</v>
      </c>
      <c r="M887" s="2" t="s">
        <v>63</v>
      </c>
    </row>
    <row r="888" spans="1:13" customFormat="1" ht="15" x14ac:dyDescent="0.25">
      <c r="D888" s="14"/>
      <c r="E888" s="14"/>
      <c r="F888" s="14"/>
      <c r="G888" s="14"/>
      <c r="H888" s="14"/>
    </row>
    <row r="889" spans="1:13" s="4" customFormat="1" x14ac:dyDescent="0.2">
      <c r="A889" s="3" t="s">
        <v>754</v>
      </c>
      <c r="B889" s="3" t="s">
        <v>755</v>
      </c>
      <c r="C889" s="3" t="s">
        <v>16</v>
      </c>
      <c r="D889" s="5">
        <f>SUBTOTAL(9, D887:D888)</f>
        <v>0</v>
      </c>
      <c r="E889" s="5">
        <f>SUBTOTAL(9, E887:E888)</f>
        <v>0</v>
      </c>
      <c r="F889" s="5">
        <f>SUBTOTAL(9, F887:F888)</f>
        <v>4.32</v>
      </c>
      <c r="G889" s="5">
        <f>SUBTOTAL(9, G887:G888)</f>
        <v>0</v>
      </c>
      <c r="H889" s="5">
        <f>SUBTOTAL(9, H887:H888)</f>
        <v>4.32</v>
      </c>
      <c r="I889" s="7"/>
      <c r="J889" s="9"/>
      <c r="K889" s="3" t="s">
        <v>16</v>
      </c>
      <c r="L889" s="3" t="s">
        <v>16</v>
      </c>
      <c r="M889" s="3" t="s">
        <v>63</v>
      </c>
    </row>
    <row r="890" spans="1:13" customFormat="1" ht="15" x14ac:dyDescent="0.25">
      <c r="D890" s="14"/>
      <c r="E890" s="14"/>
      <c r="F890" s="14"/>
      <c r="G890" s="14"/>
      <c r="H890" s="14"/>
    </row>
    <row r="891" spans="1:13" x14ac:dyDescent="0.2">
      <c r="A891" s="2" t="s">
        <v>757</v>
      </c>
      <c r="B891" s="2" t="s">
        <v>758</v>
      </c>
      <c r="C891" s="2" t="s">
        <v>759</v>
      </c>
      <c r="F891" s="6">
        <v>164.79</v>
      </c>
      <c r="H891" s="6">
        <v>164.79</v>
      </c>
      <c r="I891" s="8">
        <v>45134</v>
      </c>
      <c r="J891" s="10">
        <v>32</v>
      </c>
      <c r="K891" s="2" t="s">
        <v>16</v>
      </c>
      <c r="L891" s="2" t="s">
        <v>17</v>
      </c>
      <c r="M891" s="2" t="s">
        <v>32</v>
      </c>
    </row>
    <row r="892" spans="1:13" x14ac:dyDescent="0.2">
      <c r="A892" s="2" t="s">
        <v>757</v>
      </c>
      <c r="B892" s="2" t="s">
        <v>758</v>
      </c>
      <c r="C892" s="2" t="s">
        <v>760</v>
      </c>
      <c r="D892" s="6">
        <v>263.83</v>
      </c>
      <c r="H892" s="6">
        <v>263.83</v>
      </c>
      <c r="I892" s="8">
        <v>45162</v>
      </c>
      <c r="J892" s="10">
        <v>4</v>
      </c>
      <c r="K892" s="2" t="s">
        <v>16</v>
      </c>
      <c r="L892" s="2" t="s">
        <v>17</v>
      </c>
      <c r="M892" s="2" t="s">
        <v>32</v>
      </c>
    </row>
    <row r="893" spans="1:13" customFormat="1" ht="15" x14ac:dyDescent="0.25">
      <c r="D893" s="14"/>
      <c r="E893" s="14"/>
      <c r="F893" s="14"/>
      <c r="G893" s="14"/>
      <c r="H893" s="14"/>
    </row>
    <row r="894" spans="1:13" s="4" customFormat="1" x14ac:dyDescent="0.2">
      <c r="A894" s="3" t="s">
        <v>757</v>
      </c>
      <c r="B894" s="3" t="s">
        <v>758</v>
      </c>
      <c r="C894" s="3" t="s">
        <v>16</v>
      </c>
      <c r="D894" s="5">
        <f>SUBTOTAL(9, D891:D893)</f>
        <v>263.83</v>
      </c>
      <c r="E894" s="5">
        <f>SUBTOTAL(9, E891:E893)</f>
        <v>0</v>
      </c>
      <c r="F894" s="5">
        <f>SUBTOTAL(9, F891:F893)</f>
        <v>164.79</v>
      </c>
      <c r="G894" s="5">
        <f>SUBTOTAL(9, G891:G893)</f>
        <v>0</v>
      </c>
      <c r="H894" s="5">
        <f>SUBTOTAL(9, H891:H893)</f>
        <v>428.62</v>
      </c>
      <c r="I894" s="7"/>
      <c r="J894" s="9"/>
      <c r="K894" s="3" t="s">
        <v>16</v>
      </c>
      <c r="L894" s="3" t="s">
        <v>16</v>
      </c>
      <c r="M894" s="3" t="s">
        <v>32</v>
      </c>
    </row>
    <row r="895" spans="1:13" customFormat="1" ht="15" x14ac:dyDescent="0.25">
      <c r="D895" s="14"/>
      <c r="E895" s="14"/>
      <c r="F895" s="14"/>
      <c r="G895" s="14"/>
      <c r="H895" s="14"/>
    </row>
    <row r="896" spans="1:13" x14ac:dyDescent="0.2">
      <c r="A896" s="2" t="s">
        <v>761</v>
      </c>
      <c r="B896" s="2" t="s">
        <v>762</v>
      </c>
      <c r="C896" s="2" t="s">
        <v>763</v>
      </c>
      <c r="E896" s="6">
        <v>976.46</v>
      </c>
      <c r="H896" s="6">
        <v>976.46</v>
      </c>
      <c r="I896" s="8">
        <v>45147</v>
      </c>
      <c r="J896" s="10">
        <v>19</v>
      </c>
      <c r="K896" s="2" t="s">
        <v>16</v>
      </c>
      <c r="L896" s="2" t="s">
        <v>25</v>
      </c>
      <c r="M896" s="2" t="s">
        <v>41</v>
      </c>
    </row>
    <row r="897" spans="1:13" x14ac:dyDescent="0.2">
      <c r="A897" s="2" t="s">
        <v>761</v>
      </c>
      <c r="B897" s="2" t="s">
        <v>762</v>
      </c>
      <c r="C897" s="2" t="s">
        <v>764</v>
      </c>
      <c r="D897" s="6">
        <v>1599.36</v>
      </c>
      <c r="H897" s="6">
        <v>1599.36</v>
      </c>
      <c r="I897" s="8">
        <v>45155</v>
      </c>
      <c r="J897" s="10">
        <v>11</v>
      </c>
      <c r="K897" s="2" t="s">
        <v>16</v>
      </c>
      <c r="L897" s="2" t="s">
        <v>25</v>
      </c>
      <c r="M897" s="2" t="s">
        <v>41</v>
      </c>
    </row>
    <row r="898" spans="1:13" customFormat="1" ht="15" x14ac:dyDescent="0.25">
      <c r="D898" s="14"/>
      <c r="E898" s="14"/>
      <c r="F898" s="14"/>
      <c r="G898" s="14"/>
      <c r="H898" s="14"/>
    </row>
    <row r="899" spans="1:13" s="4" customFormat="1" x14ac:dyDescent="0.2">
      <c r="A899" s="3" t="s">
        <v>761</v>
      </c>
      <c r="B899" s="3" t="s">
        <v>762</v>
      </c>
      <c r="C899" s="3" t="s">
        <v>16</v>
      </c>
      <c r="D899" s="5">
        <f>SUBTOTAL(9, D896:D898)</f>
        <v>1599.36</v>
      </c>
      <c r="E899" s="5">
        <f>SUBTOTAL(9, E896:E898)</f>
        <v>976.46</v>
      </c>
      <c r="F899" s="5">
        <f>SUBTOTAL(9, F896:F898)</f>
        <v>0</v>
      </c>
      <c r="G899" s="5">
        <f>SUBTOTAL(9, G896:G898)</f>
        <v>0</v>
      </c>
      <c r="H899" s="5">
        <f>SUBTOTAL(9, H896:H898)</f>
        <v>2575.8199999999997</v>
      </c>
      <c r="I899" s="7"/>
      <c r="J899" s="9"/>
      <c r="K899" s="3" t="s">
        <v>16</v>
      </c>
      <c r="L899" s="3" t="s">
        <v>16</v>
      </c>
      <c r="M899" s="3" t="s">
        <v>41</v>
      </c>
    </row>
    <row r="900" spans="1:13" customFormat="1" ht="15" x14ac:dyDescent="0.25">
      <c r="D900" s="14"/>
      <c r="E900" s="14"/>
      <c r="F900" s="14"/>
      <c r="G900" s="14"/>
      <c r="H900" s="14"/>
    </row>
    <row r="901" spans="1:13" x14ac:dyDescent="0.2">
      <c r="A901" s="2" t="s">
        <v>765</v>
      </c>
      <c r="B901" s="2" t="s">
        <v>766</v>
      </c>
      <c r="C901" s="2" t="s">
        <v>767</v>
      </c>
      <c r="D901" s="6">
        <v>2276.3000000000002</v>
      </c>
      <c r="H901" s="6">
        <v>2276.3000000000002</v>
      </c>
      <c r="I901" s="8">
        <v>45160</v>
      </c>
      <c r="J901" s="10">
        <v>6</v>
      </c>
      <c r="K901" s="2" t="s">
        <v>16</v>
      </c>
      <c r="L901" s="2" t="s">
        <v>36</v>
      </c>
      <c r="M901" s="2" t="s">
        <v>237</v>
      </c>
    </row>
    <row r="902" spans="1:13" customFormat="1" ht="15" x14ac:dyDescent="0.25">
      <c r="D902" s="14"/>
      <c r="E902" s="14"/>
      <c r="F902" s="14"/>
      <c r="G902" s="14"/>
      <c r="H902" s="14"/>
    </row>
    <row r="903" spans="1:13" s="4" customFormat="1" x14ac:dyDescent="0.2">
      <c r="A903" s="3" t="s">
        <v>765</v>
      </c>
      <c r="B903" s="3" t="s">
        <v>766</v>
      </c>
      <c r="C903" s="3" t="s">
        <v>16</v>
      </c>
      <c r="D903" s="5">
        <f>SUBTOTAL(9, D901:D902)</f>
        <v>2276.3000000000002</v>
      </c>
      <c r="E903" s="5">
        <f>SUBTOTAL(9, E901:E902)</f>
        <v>0</v>
      </c>
      <c r="F903" s="5">
        <f>SUBTOTAL(9, F901:F902)</f>
        <v>0</v>
      </c>
      <c r="G903" s="5">
        <f>SUBTOTAL(9, G901:G902)</f>
        <v>0</v>
      </c>
      <c r="H903" s="5">
        <f>SUBTOTAL(9, H901:H902)</f>
        <v>2276.3000000000002</v>
      </c>
      <c r="I903" s="7"/>
      <c r="J903" s="9"/>
      <c r="K903" s="3" t="s">
        <v>16</v>
      </c>
      <c r="L903" s="3" t="s">
        <v>16</v>
      </c>
      <c r="M903" s="3" t="s">
        <v>237</v>
      </c>
    </row>
    <row r="904" spans="1:13" customFormat="1" ht="15" x14ac:dyDescent="0.25">
      <c r="D904" s="14"/>
      <c r="E904" s="14"/>
      <c r="F904" s="14"/>
      <c r="G904" s="14"/>
      <c r="H904" s="14"/>
    </row>
    <row r="905" spans="1:13" x14ac:dyDescent="0.2">
      <c r="A905" s="2" t="s">
        <v>768</v>
      </c>
      <c r="B905" s="2" t="s">
        <v>769</v>
      </c>
      <c r="C905" s="2" t="s">
        <v>770</v>
      </c>
      <c r="E905" s="6">
        <v>2998.8</v>
      </c>
      <c r="H905" s="6">
        <v>2998.8</v>
      </c>
      <c r="I905" s="8">
        <v>45148</v>
      </c>
      <c r="J905" s="10">
        <v>18</v>
      </c>
      <c r="K905" s="2" t="s">
        <v>16</v>
      </c>
      <c r="L905" s="2" t="s">
        <v>25</v>
      </c>
      <c r="M905" s="2" t="s">
        <v>237</v>
      </c>
    </row>
    <row r="906" spans="1:13" x14ac:dyDescent="0.2">
      <c r="A906" s="2" t="s">
        <v>768</v>
      </c>
      <c r="B906" s="2" t="s">
        <v>769</v>
      </c>
      <c r="C906" s="2" t="s">
        <v>771</v>
      </c>
      <c r="D906" s="6">
        <v>2530.42</v>
      </c>
      <c r="H906" s="6">
        <v>2530.42</v>
      </c>
      <c r="I906" s="8">
        <v>45155</v>
      </c>
      <c r="J906" s="10">
        <v>11</v>
      </c>
      <c r="K906" s="2" t="s">
        <v>16</v>
      </c>
      <c r="L906" s="2" t="s">
        <v>25</v>
      </c>
      <c r="M906" s="2" t="s">
        <v>237</v>
      </c>
    </row>
    <row r="907" spans="1:13" customFormat="1" ht="15" x14ac:dyDescent="0.25">
      <c r="D907" s="14"/>
      <c r="E907" s="14"/>
      <c r="F907" s="14"/>
      <c r="G907" s="14"/>
      <c r="H907" s="14"/>
    </row>
    <row r="908" spans="1:13" s="4" customFormat="1" x14ac:dyDescent="0.2">
      <c r="A908" s="3" t="s">
        <v>768</v>
      </c>
      <c r="B908" s="3" t="s">
        <v>769</v>
      </c>
      <c r="C908" s="3" t="s">
        <v>16</v>
      </c>
      <c r="D908" s="5">
        <f>SUBTOTAL(9, D905:D907)</f>
        <v>2530.42</v>
      </c>
      <c r="E908" s="5">
        <f>SUBTOTAL(9, E905:E907)</f>
        <v>2998.8</v>
      </c>
      <c r="F908" s="5">
        <f>SUBTOTAL(9, F905:F907)</f>
        <v>0</v>
      </c>
      <c r="G908" s="5">
        <f>SUBTOTAL(9, G905:G907)</f>
        <v>0</v>
      </c>
      <c r="H908" s="5">
        <f>SUBTOTAL(9, H905:H907)</f>
        <v>5529.22</v>
      </c>
      <c r="I908" s="7"/>
      <c r="J908" s="9"/>
      <c r="K908" s="3" t="s">
        <v>16</v>
      </c>
      <c r="L908" s="3" t="s">
        <v>16</v>
      </c>
      <c r="M908" s="3" t="s">
        <v>237</v>
      </c>
    </row>
    <row r="909" spans="1:13" customFormat="1" ht="15" x14ac:dyDescent="0.25">
      <c r="D909" s="14"/>
      <c r="E909" s="14"/>
      <c r="F909" s="14"/>
      <c r="G909" s="14"/>
      <c r="H909" s="14"/>
    </row>
    <row r="910" spans="1:13" x14ac:dyDescent="0.2">
      <c r="A910" s="2" t="s">
        <v>772</v>
      </c>
      <c r="B910" s="2" t="s">
        <v>773</v>
      </c>
      <c r="C910" s="2" t="s">
        <v>774</v>
      </c>
      <c r="E910" s="6">
        <v>2981.07</v>
      </c>
      <c r="H910" s="6">
        <v>2981.07</v>
      </c>
      <c r="I910" s="8">
        <v>45138</v>
      </c>
      <c r="J910" s="10">
        <v>28</v>
      </c>
      <c r="K910" s="2" t="s">
        <v>16</v>
      </c>
      <c r="L910" s="2" t="s">
        <v>36</v>
      </c>
      <c r="M910" s="2" t="s">
        <v>186</v>
      </c>
    </row>
    <row r="911" spans="1:13" customFormat="1" ht="15" x14ac:dyDescent="0.25">
      <c r="D911" s="14"/>
      <c r="E911" s="14"/>
      <c r="F911" s="14"/>
      <c r="G911" s="14"/>
      <c r="H911" s="14"/>
    </row>
    <row r="912" spans="1:13" s="4" customFormat="1" x14ac:dyDescent="0.2">
      <c r="A912" s="3" t="s">
        <v>772</v>
      </c>
      <c r="B912" s="3" t="s">
        <v>773</v>
      </c>
      <c r="C912" s="3" t="s">
        <v>16</v>
      </c>
      <c r="D912" s="5">
        <f>SUBTOTAL(9, D910:D911)</f>
        <v>0</v>
      </c>
      <c r="E912" s="5">
        <f>SUBTOTAL(9, E910:E911)</f>
        <v>2981.07</v>
      </c>
      <c r="F912" s="5">
        <f>SUBTOTAL(9, F910:F911)</f>
        <v>0</v>
      </c>
      <c r="G912" s="5">
        <f>SUBTOTAL(9, G910:G911)</f>
        <v>0</v>
      </c>
      <c r="H912" s="5">
        <f>SUBTOTAL(9, H910:H911)</f>
        <v>2981.07</v>
      </c>
      <c r="I912" s="7"/>
      <c r="J912" s="9"/>
      <c r="K912" s="3" t="s">
        <v>16</v>
      </c>
      <c r="L912" s="3" t="s">
        <v>16</v>
      </c>
      <c r="M912" s="3" t="s">
        <v>186</v>
      </c>
    </row>
    <row r="913" spans="1:13" customFormat="1" ht="15" x14ac:dyDescent="0.25">
      <c r="D913" s="14"/>
      <c r="E913" s="14"/>
      <c r="F913" s="14"/>
      <c r="G913" s="14"/>
      <c r="H913" s="14"/>
    </row>
    <row r="914" spans="1:13" x14ac:dyDescent="0.2">
      <c r="A914" s="2" t="s">
        <v>775</v>
      </c>
      <c r="B914" s="2" t="s">
        <v>776</v>
      </c>
      <c r="C914" s="2" t="s">
        <v>777</v>
      </c>
      <c r="F914" s="6">
        <v>300.32</v>
      </c>
      <c r="H914" s="6">
        <v>300.32</v>
      </c>
      <c r="I914" s="8">
        <v>45134</v>
      </c>
      <c r="J914" s="10">
        <v>32</v>
      </c>
      <c r="K914" s="2" t="s">
        <v>16</v>
      </c>
      <c r="L914" s="2" t="s">
        <v>17</v>
      </c>
      <c r="M914" s="2" t="s">
        <v>70</v>
      </c>
    </row>
    <row r="915" spans="1:13" customFormat="1" ht="15" x14ac:dyDescent="0.25">
      <c r="D915" s="14"/>
      <c r="E915" s="14"/>
      <c r="F915" s="14"/>
      <c r="G915" s="14"/>
      <c r="H915" s="14"/>
    </row>
    <row r="916" spans="1:13" s="4" customFormat="1" x14ac:dyDescent="0.2">
      <c r="A916" s="3" t="s">
        <v>775</v>
      </c>
      <c r="B916" s="3" t="s">
        <v>776</v>
      </c>
      <c r="C916" s="3" t="s">
        <v>16</v>
      </c>
      <c r="D916" s="5">
        <f>SUBTOTAL(9, D914:D915)</f>
        <v>0</v>
      </c>
      <c r="E916" s="5">
        <f>SUBTOTAL(9, E914:E915)</f>
        <v>0</v>
      </c>
      <c r="F916" s="5">
        <f>SUBTOTAL(9, F914:F915)</f>
        <v>300.32</v>
      </c>
      <c r="G916" s="5">
        <f>SUBTOTAL(9, G914:G915)</f>
        <v>0</v>
      </c>
      <c r="H916" s="5">
        <f>SUBTOTAL(9, H914:H915)</f>
        <v>300.32</v>
      </c>
      <c r="I916" s="7"/>
      <c r="J916" s="9"/>
      <c r="K916" s="3" t="s">
        <v>16</v>
      </c>
      <c r="L916" s="3" t="s">
        <v>16</v>
      </c>
      <c r="M916" s="3" t="s">
        <v>70</v>
      </c>
    </row>
    <row r="917" spans="1:13" customFormat="1" ht="15" x14ac:dyDescent="0.25">
      <c r="D917" s="14"/>
      <c r="E917" s="14"/>
      <c r="F917" s="14"/>
      <c r="G917" s="14"/>
      <c r="H917" s="14"/>
    </row>
    <row r="918" spans="1:13" x14ac:dyDescent="0.2">
      <c r="A918" s="2" t="s">
        <v>778</v>
      </c>
      <c r="B918" s="2" t="s">
        <v>779</v>
      </c>
      <c r="C918" s="2" t="s">
        <v>780</v>
      </c>
      <c r="F918" s="6">
        <v>353.12</v>
      </c>
      <c r="H918" s="6">
        <v>353.12</v>
      </c>
      <c r="I918" s="8">
        <v>45128</v>
      </c>
      <c r="J918" s="10">
        <v>38</v>
      </c>
      <c r="K918" s="2" t="s">
        <v>16</v>
      </c>
      <c r="L918" s="2" t="s">
        <v>17</v>
      </c>
      <c r="M918" s="2" t="s">
        <v>70</v>
      </c>
    </row>
    <row r="919" spans="1:13" customFormat="1" ht="15" x14ac:dyDescent="0.25">
      <c r="D919" s="14"/>
      <c r="E919" s="14"/>
      <c r="F919" s="14"/>
      <c r="G919" s="14"/>
      <c r="H919" s="14"/>
    </row>
    <row r="920" spans="1:13" s="4" customFormat="1" x14ac:dyDescent="0.2">
      <c r="A920" s="3" t="s">
        <v>778</v>
      </c>
      <c r="B920" s="3" t="s">
        <v>779</v>
      </c>
      <c r="C920" s="3" t="s">
        <v>16</v>
      </c>
      <c r="D920" s="5">
        <f>SUBTOTAL(9, D918:D919)</f>
        <v>0</v>
      </c>
      <c r="E920" s="5">
        <f>SUBTOTAL(9, E918:E919)</f>
        <v>0</v>
      </c>
      <c r="F920" s="5">
        <f>SUBTOTAL(9, F918:F919)</f>
        <v>353.12</v>
      </c>
      <c r="G920" s="5">
        <f>SUBTOTAL(9, G918:G919)</f>
        <v>0</v>
      </c>
      <c r="H920" s="5">
        <f>SUBTOTAL(9, H918:H919)</f>
        <v>353.12</v>
      </c>
      <c r="I920" s="7"/>
      <c r="J920" s="9"/>
      <c r="K920" s="3" t="s">
        <v>16</v>
      </c>
      <c r="L920" s="3" t="s">
        <v>16</v>
      </c>
      <c r="M920" s="3" t="s">
        <v>70</v>
      </c>
    </row>
    <row r="921" spans="1:13" customFormat="1" ht="15" x14ac:dyDescent="0.25">
      <c r="D921" s="14"/>
      <c r="E921" s="14"/>
      <c r="F921" s="14"/>
      <c r="G921" s="14"/>
      <c r="H921" s="14"/>
    </row>
    <row r="922" spans="1:13" x14ac:dyDescent="0.2">
      <c r="A922" s="2" t="s">
        <v>781</v>
      </c>
      <c r="B922" s="2" t="s">
        <v>782</v>
      </c>
      <c r="C922" s="2" t="s">
        <v>783</v>
      </c>
      <c r="D922" s="6">
        <v>1300.0999999999999</v>
      </c>
      <c r="H922" s="6">
        <v>1300.0999999999999</v>
      </c>
      <c r="I922" s="8">
        <v>45166</v>
      </c>
      <c r="K922" s="2" t="s">
        <v>16</v>
      </c>
      <c r="L922" s="2" t="s">
        <v>36</v>
      </c>
      <c r="M922" s="2" t="s">
        <v>59</v>
      </c>
    </row>
    <row r="923" spans="1:13" customFormat="1" ht="15" x14ac:dyDescent="0.25">
      <c r="D923" s="14"/>
      <c r="E923" s="14"/>
      <c r="F923" s="14"/>
      <c r="G923" s="14"/>
      <c r="H923" s="14"/>
    </row>
    <row r="924" spans="1:13" s="4" customFormat="1" x14ac:dyDescent="0.2">
      <c r="A924" s="3" t="s">
        <v>781</v>
      </c>
      <c r="B924" s="3" t="s">
        <v>782</v>
      </c>
      <c r="C924" s="3" t="s">
        <v>16</v>
      </c>
      <c r="D924" s="5">
        <f>SUBTOTAL(9, D922:D923)</f>
        <v>1300.0999999999999</v>
      </c>
      <c r="E924" s="5">
        <f>SUBTOTAL(9, E922:E923)</f>
        <v>0</v>
      </c>
      <c r="F924" s="5">
        <f>SUBTOTAL(9, F922:F923)</f>
        <v>0</v>
      </c>
      <c r="G924" s="5">
        <f>SUBTOTAL(9, G922:G923)</f>
        <v>0</v>
      </c>
      <c r="H924" s="5">
        <f>SUBTOTAL(9, H922:H923)</f>
        <v>1300.0999999999999</v>
      </c>
      <c r="I924" s="7"/>
      <c r="J924" s="9"/>
      <c r="K924" s="3" t="s">
        <v>16</v>
      </c>
      <c r="L924" s="3" t="s">
        <v>16</v>
      </c>
      <c r="M924" s="3" t="s">
        <v>59</v>
      </c>
    </row>
    <row r="925" spans="1:13" customFormat="1" ht="15" x14ac:dyDescent="0.25">
      <c r="D925" s="14"/>
      <c r="E925" s="14"/>
      <c r="F925" s="14"/>
      <c r="G925" s="14"/>
      <c r="H925" s="14"/>
    </row>
    <row r="926" spans="1:13" x14ac:dyDescent="0.2">
      <c r="A926" s="2" t="s">
        <v>784</v>
      </c>
      <c r="B926" s="2" t="s">
        <v>785</v>
      </c>
      <c r="C926" s="2" t="s">
        <v>786</v>
      </c>
      <c r="G926" s="6">
        <v>1167.28</v>
      </c>
      <c r="H926" s="6">
        <v>1167.28</v>
      </c>
      <c r="I926" s="8">
        <v>45055</v>
      </c>
      <c r="J926" s="10">
        <v>111</v>
      </c>
      <c r="K926" s="2" t="s">
        <v>16</v>
      </c>
      <c r="L926" s="2" t="s">
        <v>17</v>
      </c>
      <c r="M926" s="2" t="s">
        <v>70</v>
      </c>
    </row>
    <row r="927" spans="1:13" x14ac:dyDescent="0.2">
      <c r="A927" s="2" t="s">
        <v>784</v>
      </c>
      <c r="B927" s="2" t="s">
        <v>785</v>
      </c>
      <c r="C927" s="2" t="s">
        <v>787</v>
      </c>
      <c r="G927" s="6">
        <v>1764.13</v>
      </c>
      <c r="H927" s="6">
        <v>1764.13</v>
      </c>
      <c r="I927" s="8">
        <v>45055</v>
      </c>
      <c r="J927" s="10">
        <v>111</v>
      </c>
      <c r="K927" s="2" t="s">
        <v>16</v>
      </c>
      <c r="L927" s="2" t="s">
        <v>17</v>
      </c>
      <c r="M927" s="2" t="s">
        <v>70</v>
      </c>
    </row>
    <row r="928" spans="1:13" x14ac:dyDescent="0.2">
      <c r="A928" s="2" t="s">
        <v>784</v>
      </c>
      <c r="B928" s="2" t="s">
        <v>785</v>
      </c>
      <c r="C928" s="2" t="s">
        <v>788</v>
      </c>
      <c r="G928" s="6">
        <v>666.47</v>
      </c>
      <c r="H928" s="6">
        <v>666.47</v>
      </c>
      <c r="I928" s="8">
        <v>45055</v>
      </c>
      <c r="J928" s="10">
        <v>111</v>
      </c>
      <c r="K928" s="2" t="s">
        <v>16</v>
      </c>
      <c r="L928" s="2" t="s">
        <v>17</v>
      </c>
      <c r="M928" s="2" t="s">
        <v>70</v>
      </c>
    </row>
    <row r="929" spans="1:13" x14ac:dyDescent="0.2">
      <c r="A929" s="2" t="s">
        <v>784</v>
      </c>
      <c r="B929" s="2" t="s">
        <v>785</v>
      </c>
      <c r="C929" s="2" t="s">
        <v>789</v>
      </c>
      <c r="G929" s="6">
        <v>1142.08</v>
      </c>
      <c r="H929" s="6">
        <v>1142.08</v>
      </c>
      <c r="I929" s="8">
        <v>45056</v>
      </c>
      <c r="J929" s="10">
        <v>110</v>
      </c>
      <c r="K929" s="2" t="s">
        <v>16</v>
      </c>
      <c r="L929" s="2" t="s">
        <v>17</v>
      </c>
      <c r="M929" s="2" t="s">
        <v>70</v>
      </c>
    </row>
    <row r="930" spans="1:13" x14ac:dyDescent="0.2">
      <c r="A930" s="2" t="s">
        <v>784</v>
      </c>
      <c r="B930" s="2" t="s">
        <v>785</v>
      </c>
      <c r="C930" s="2" t="s">
        <v>790</v>
      </c>
      <c r="G930" s="6">
        <v>542.67999999999995</v>
      </c>
      <c r="H930" s="6">
        <v>542.67999999999995</v>
      </c>
      <c r="I930" s="8">
        <v>45083</v>
      </c>
      <c r="J930" s="10">
        <v>83</v>
      </c>
      <c r="K930" s="2" t="s">
        <v>16</v>
      </c>
      <c r="L930" s="2" t="s">
        <v>17</v>
      </c>
      <c r="M930" s="2" t="s">
        <v>70</v>
      </c>
    </row>
    <row r="931" spans="1:13" x14ac:dyDescent="0.2">
      <c r="A931" s="2" t="s">
        <v>784</v>
      </c>
      <c r="B931" s="2" t="s">
        <v>785</v>
      </c>
      <c r="C931" s="2" t="s">
        <v>791</v>
      </c>
      <c r="G931" s="6">
        <v>957.67</v>
      </c>
      <c r="H931" s="6">
        <v>957.67</v>
      </c>
      <c r="I931" s="8">
        <v>45084</v>
      </c>
      <c r="J931" s="10">
        <v>82</v>
      </c>
      <c r="K931" s="2" t="s">
        <v>16</v>
      </c>
      <c r="L931" s="2" t="s">
        <v>17</v>
      </c>
      <c r="M931" s="2" t="s">
        <v>70</v>
      </c>
    </row>
    <row r="932" spans="1:13" customFormat="1" ht="15" x14ac:dyDescent="0.25">
      <c r="D932" s="14"/>
      <c r="E932" s="14"/>
      <c r="F932" s="14"/>
      <c r="G932" s="14"/>
      <c r="H932" s="14"/>
    </row>
    <row r="933" spans="1:13" s="4" customFormat="1" x14ac:dyDescent="0.2">
      <c r="A933" s="3" t="s">
        <v>784</v>
      </c>
      <c r="B933" s="3" t="s">
        <v>785</v>
      </c>
      <c r="C933" s="3" t="s">
        <v>16</v>
      </c>
      <c r="D933" s="5">
        <f>SUBTOTAL(9, D926:D932)</f>
        <v>0</v>
      </c>
      <c r="E933" s="5">
        <f>SUBTOTAL(9, E926:E932)</f>
        <v>0</v>
      </c>
      <c r="F933" s="5">
        <f>SUBTOTAL(9, F926:F932)</f>
        <v>0</v>
      </c>
      <c r="G933" s="5">
        <f>SUBTOTAL(9, G926:G932)</f>
        <v>6240.31</v>
      </c>
      <c r="H933" s="5">
        <f>SUBTOTAL(9, H926:H932)</f>
        <v>6240.31</v>
      </c>
      <c r="I933" s="7"/>
      <c r="J933" s="9"/>
      <c r="K933" s="3" t="s">
        <v>16</v>
      </c>
      <c r="L933" s="3" t="s">
        <v>16</v>
      </c>
      <c r="M933" s="3" t="s">
        <v>70</v>
      </c>
    </row>
    <row r="934" spans="1:13" customFormat="1" ht="15" x14ac:dyDescent="0.25">
      <c r="D934" s="14"/>
      <c r="E934" s="14"/>
      <c r="F934" s="14"/>
      <c r="G934" s="14"/>
      <c r="H934" s="14"/>
    </row>
    <row r="935" spans="1:13" x14ac:dyDescent="0.2">
      <c r="A935" s="2" t="s">
        <v>792</v>
      </c>
      <c r="B935" s="2" t="s">
        <v>793</v>
      </c>
      <c r="C935" s="2" t="s">
        <v>794</v>
      </c>
      <c r="D935" s="6">
        <v>3746.89</v>
      </c>
      <c r="H935" s="6">
        <v>3746.89</v>
      </c>
      <c r="I935" s="8">
        <v>45155</v>
      </c>
      <c r="J935" s="10">
        <v>11</v>
      </c>
      <c r="K935" s="2" t="s">
        <v>16</v>
      </c>
      <c r="L935" s="2" t="s">
        <v>25</v>
      </c>
      <c r="M935" s="2" t="s">
        <v>41</v>
      </c>
    </row>
    <row r="936" spans="1:13" x14ac:dyDescent="0.2">
      <c r="A936" s="2" t="s">
        <v>792</v>
      </c>
      <c r="B936" s="2" t="s">
        <v>793</v>
      </c>
      <c r="C936" s="2" t="s">
        <v>795</v>
      </c>
      <c r="D936" s="6">
        <v>2196.4499999999998</v>
      </c>
      <c r="H936" s="6">
        <v>2196.4499999999998</v>
      </c>
      <c r="I936" s="8">
        <v>45162</v>
      </c>
      <c r="J936" s="10">
        <v>4</v>
      </c>
      <c r="K936" s="2" t="s">
        <v>16</v>
      </c>
      <c r="L936" s="2" t="s">
        <v>25</v>
      </c>
      <c r="M936" s="2" t="s">
        <v>41</v>
      </c>
    </row>
    <row r="937" spans="1:13" customFormat="1" ht="15" x14ac:dyDescent="0.25">
      <c r="D937" s="14"/>
      <c r="E937" s="14"/>
      <c r="F937" s="14"/>
      <c r="G937" s="14"/>
      <c r="H937" s="14"/>
    </row>
    <row r="938" spans="1:13" s="4" customFormat="1" x14ac:dyDescent="0.2">
      <c r="A938" s="3" t="s">
        <v>792</v>
      </c>
      <c r="B938" s="3" t="s">
        <v>793</v>
      </c>
      <c r="C938" s="3" t="s">
        <v>16</v>
      </c>
      <c r="D938" s="5">
        <f>SUBTOTAL(9, D935:D937)</f>
        <v>5943.34</v>
      </c>
      <c r="E938" s="5">
        <f>SUBTOTAL(9, E935:E937)</f>
        <v>0</v>
      </c>
      <c r="F938" s="5">
        <f>SUBTOTAL(9, F935:F937)</f>
        <v>0</v>
      </c>
      <c r="G938" s="5">
        <f>SUBTOTAL(9, G935:G937)</f>
        <v>0</v>
      </c>
      <c r="H938" s="5">
        <f>SUBTOTAL(9, H935:H937)</f>
        <v>5943.34</v>
      </c>
      <c r="I938" s="7"/>
      <c r="J938" s="9"/>
      <c r="K938" s="3" t="s">
        <v>16</v>
      </c>
      <c r="L938" s="3" t="s">
        <v>16</v>
      </c>
      <c r="M938" s="3" t="s">
        <v>41</v>
      </c>
    </row>
    <row r="939" spans="1:13" customFormat="1" ht="15" x14ac:dyDescent="0.25">
      <c r="D939" s="14"/>
      <c r="E939" s="14"/>
      <c r="F939" s="14"/>
      <c r="G939" s="14"/>
      <c r="H939" s="14"/>
    </row>
    <row r="940" spans="1:13" x14ac:dyDescent="0.2">
      <c r="A940" s="2" t="s">
        <v>796</v>
      </c>
      <c r="B940" s="2" t="s">
        <v>797</v>
      </c>
      <c r="C940" s="2" t="s">
        <v>798</v>
      </c>
      <c r="F940" s="6">
        <v>656.16</v>
      </c>
      <c r="H940" s="6">
        <v>656.16</v>
      </c>
      <c r="I940" s="8">
        <v>45127</v>
      </c>
      <c r="J940" s="10">
        <v>39</v>
      </c>
      <c r="K940" s="2" t="s">
        <v>16</v>
      </c>
      <c r="L940" s="2" t="s">
        <v>36</v>
      </c>
      <c r="M940" s="2" t="s">
        <v>59</v>
      </c>
    </row>
    <row r="941" spans="1:13" x14ac:dyDescent="0.2">
      <c r="A941" s="2" t="s">
        <v>796</v>
      </c>
      <c r="B941" s="2" t="s">
        <v>797</v>
      </c>
      <c r="C941" s="2" t="s">
        <v>799</v>
      </c>
      <c r="E941" s="6">
        <v>1406.97</v>
      </c>
      <c r="H941" s="6">
        <v>1406.97</v>
      </c>
      <c r="I941" s="8">
        <v>45141</v>
      </c>
      <c r="J941" s="10">
        <v>25</v>
      </c>
      <c r="K941" s="2" t="s">
        <v>16</v>
      </c>
      <c r="L941" s="2" t="s">
        <v>25</v>
      </c>
      <c r="M941" s="2" t="s">
        <v>59</v>
      </c>
    </row>
    <row r="942" spans="1:13" customFormat="1" ht="15" x14ac:dyDescent="0.25">
      <c r="D942" s="14"/>
      <c r="E942" s="14"/>
      <c r="F942" s="14"/>
      <c r="G942" s="14"/>
      <c r="H942" s="14"/>
    </row>
    <row r="943" spans="1:13" s="4" customFormat="1" x14ac:dyDescent="0.2">
      <c r="A943" s="3" t="s">
        <v>796</v>
      </c>
      <c r="B943" s="3" t="s">
        <v>797</v>
      </c>
      <c r="C943" s="3" t="s">
        <v>16</v>
      </c>
      <c r="D943" s="5">
        <f>SUBTOTAL(9, D940:D942)</f>
        <v>0</v>
      </c>
      <c r="E943" s="5">
        <f>SUBTOTAL(9, E940:E942)</f>
        <v>1406.97</v>
      </c>
      <c r="F943" s="5">
        <f>SUBTOTAL(9, F940:F942)</f>
        <v>656.16</v>
      </c>
      <c r="G943" s="5">
        <f>SUBTOTAL(9, G940:G942)</f>
        <v>0</v>
      </c>
      <c r="H943" s="5">
        <f>SUBTOTAL(9, H940:H942)</f>
        <v>2063.13</v>
      </c>
      <c r="I943" s="7"/>
      <c r="J943" s="9"/>
      <c r="K943" s="3" t="s">
        <v>16</v>
      </c>
      <c r="L943" s="3" t="s">
        <v>16</v>
      </c>
      <c r="M943" s="3" t="s">
        <v>59</v>
      </c>
    </row>
    <row r="944" spans="1:13" customFormat="1" ht="15" x14ac:dyDescent="0.25">
      <c r="D944" s="14"/>
      <c r="E944" s="14"/>
      <c r="F944" s="14"/>
      <c r="G944" s="14"/>
      <c r="H944" s="14"/>
    </row>
    <row r="945" spans="1:13" x14ac:dyDescent="0.2">
      <c r="A945" s="2" t="s">
        <v>800</v>
      </c>
      <c r="B945" s="2" t="s">
        <v>801</v>
      </c>
      <c r="C945" s="2" t="s">
        <v>802</v>
      </c>
      <c r="G945" s="6">
        <v>-848.2</v>
      </c>
      <c r="H945" s="6">
        <v>-848.2</v>
      </c>
      <c r="I945" s="8">
        <v>45009</v>
      </c>
      <c r="J945" s="10">
        <v>157</v>
      </c>
      <c r="K945" s="2" t="s">
        <v>16</v>
      </c>
      <c r="L945" s="2" t="s">
        <v>278</v>
      </c>
      <c r="M945" s="2" t="s">
        <v>279</v>
      </c>
    </row>
    <row r="946" spans="1:13" x14ac:dyDescent="0.2">
      <c r="A946" s="2" t="s">
        <v>800</v>
      </c>
      <c r="B946" s="2" t="s">
        <v>801</v>
      </c>
      <c r="C946" s="2" t="s">
        <v>803</v>
      </c>
      <c r="F946" s="6">
        <v>324.27</v>
      </c>
      <c r="H946" s="6">
        <v>324.27</v>
      </c>
      <c r="I946" s="8">
        <v>45131</v>
      </c>
      <c r="J946" s="10">
        <v>35</v>
      </c>
      <c r="K946" s="2" t="s">
        <v>16</v>
      </c>
      <c r="L946" s="2" t="s">
        <v>278</v>
      </c>
      <c r="M946" s="2" t="s">
        <v>279</v>
      </c>
    </row>
    <row r="947" spans="1:13" x14ac:dyDescent="0.2">
      <c r="A947" s="2" t="s">
        <v>800</v>
      </c>
      <c r="B947" s="2" t="s">
        <v>801</v>
      </c>
      <c r="C947" s="2" t="s">
        <v>804</v>
      </c>
      <c r="D947" s="6">
        <v>289.36</v>
      </c>
      <c r="H947" s="6">
        <v>289.36</v>
      </c>
      <c r="I947" s="8">
        <v>45153</v>
      </c>
      <c r="J947" s="10">
        <v>13</v>
      </c>
      <c r="K947" s="2" t="s">
        <v>16</v>
      </c>
      <c r="L947" s="2" t="s">
        <v>278</v>
      </c>
      <c r="M947" s="2" t="s">
        <v>279</v>
      </c>
    </row>
    <row r="948" spans="1:13" customFormat="1" ht="15" x14ac:dyDescent="0.25">
      <c r="D948" s="14"/>
      <c r="E948" s="14"/>
      <c r="F948" s="14"/>
      <c r="G948" s="14"/>
      <c r="H948" s="14"/>
    </row>
    <row r="949" spans="1:13" s="4" customFormat="1" x14ac:dyDescent="0.2">
      <c r="A949" s="3" t="s">
        <v>800</v>
      </c>
      <c r="B949" s="3" t="s">
        <v>801</v>
      </c>
      <c r="C949" s="3" t="s">
        <v>16</v>
      </c>
      <c r="D949" s="5">
        <f>SUBTOTAL(9, D945:D948)</f>
        <v>289.36</v>
      </c>
      <c r="E949" s="5">
        <f>SUBTOTAL(9, E945:E948)</f>
        <v>0</v>
      </c>
      <c r="F949" s="5">
        <f>SUBTOTAL(9, F945:F948)</f>
        <v>324.27</v>
      </c>
      <c r="G949" s="5">
        <f>SUBTOTAL(9, G945:G948)</f>
        <v>-848.2</v>
      </c>
      <c r="H949" s="5">
        <f>SUBTOTAL(9, H945:H948)</f>
        <v>-234.57000000000005</v>
      </c>
      <c r="I949" s="7"/>
      <c r="J949" s="9"/>
      <c r="K949" s="3" t="s">
        <v>16</v>
      </c>
      <c r="L949" s="3" t="s">
        <v>16</v>
      </c>
      <c r="M949" s="3" t="s">
        <v>279</v>
      </c>
    </row>
    <row r="950" spans="1:13" customFormat="1" ht="15" x14ac:dyDescent="0.25">
      <c r="D950" s="14"/>
      <c r="E950" s="14"/>
      <c r="F950" s="14"/>
      <c r="G950" s="14"/>
      <c r="H950" s="14"/>
    </row>
    <row r="951" spans="1:13" x14ac:dyDescent="0.2">
      <c r="A951" s="2" t="s">
        <v>805</v>
      </c>
      <c r="B951" s="2" t="s">
        <v>806</v>
      </c>
      <c r="C951" s="2" t="s">
        <v>807</v>
      </c>
      <c r="F951" s="6">
        <v>5305.32</v>
      </c>
      <c r="H951" s="6">
        <v>5305.32</v>
      </c>
      <c r="I951" s="8">
        <v>45126</v>
      </c>
      <c r="J951" s="10">
        <v>40</v>
      </c>
      <c r="K951" s="2" t="s">
        <v>16</v>
      </c>
      <c r="L951" s="2" t="s">
        <v>278</v>
      </c>
      <c r="M951" s="2" t="s">
        <v>279</v>
      </c>
    </row>
    <row r="952" spans="1:13" x14ac:dyDescent="0.2">
      <c r="A952" s="2" t="s">
        <v>805</v>
      </c>
      <c r="B952" s="2" t="s">
        <v>806</v>
      </c>
      <c r="C952" s="2" t="s">
        <v>808</v>
      </c>
      <c r="F952" s="6">
        <v>2436.35</v>
      </c>
      <c r="H952" s="6">
        <v>2436.35</v>
      </c>
      <c r="I952" s="8">
        <v>45126</v>
      </c>
      <c r="J952" s="10">
        <v>40</v>
      </c>
      <c r="K952" s="2" t="s">
        <v>16</v>
      </c>
      <c r="L952" s="2" t="s">
        <v>278</v>
      </c>
      <c r="M952" s="2" t="s">
        <v>279</v>
      </c>
    </row>
    <row r="953" spans="1:13" x14ac:dyDescent="0.2">
      <c r="A953" s="2" t="s">
        <v>805</v>
      </c>
      <c r="B953" s="2" t="s">
        <v>806</v>
      </c>
      <c r="C953" s="2" t="s">
        <v>809</v>
      </c>
      <c r="D953" s="6">
        <v>4349</v>
      </c>
      <c r="H953" s="6">
        <v>4349</v>
      </c>
      <c r="I953" s="8">
        <v>45161</v>
      </c>
      <c r="J953" s="10">
        <v>5</v>
      </c>
      <c r="K953" s="2" t="s">
        <v>16</v>
      </c>
      <c r="L953" s="2" t="s">
        <v>278</v>
      </c>
      <c r="M953" s="2" t="s">
        <v>279</v>
      </c>
    </row>
    <row r="954" spans="1:13" x14ac:dyDescent="0.2">
      <c r="A954" s="2" t="s">
        <v>805</v>
      </c>
      <c r="B954" s="2" t="s">
        <v>806</v>
      </c>
      <c r="C954" s="2" t="s">
        <v>810</v>
      </c>
      <c r="D954" s="6">
        <v>1184.02</v>
      </c>
      <c r="H954" s="6">
        <v>1184.02</v>
      </c>
      <c r="I954" s="8">
        <v>45161</v>
      </c>
      <c r="J954" s="10">
        <v>5</v>
      </c>
      <c r="K954" s="2" t="s">
        <v>16</v>
      </c>
      <c r="L954" s="2" t="s">
        <v>278</v>
      </c>
      <c r="M954" s="2" t="s">
        <v>279</v>
      </c>
    </row>
    <row r="955" spans="1:13" customFormat="1" ht="15" x14ac:dyDescent="0.25">
      <c r="D955" s="14"/>
      <c r="E955" s="14"/>
      <c r="F955" s="14"/>
      <c r="G955" s="14"/>
      <c r="H955" s="14"/>
    </row>
    <row r="956" spans="1:13" s="4" customFormat="1" x14ac:dyDescent="0.2">
      <c r="A956" s="3" t="s">
        <v>805</v>
      </c>
      <c r="B956" s="3" t="s">
        <v>806</v>
      </c>
      <c r="C956" s="3" t="s">
        <v>16</v>
      </c>
      <c r="D956" s="5">
        <f>SUBTOTAL(9, D951:D955)</f>
        <v>5533.02</v>
      </c>
      <c r="E956" s="5">
        <f>SUBTOTAL(9, E951:E955)</f>
        <v>0</v>
      </c>
      <c r="F956" s="5">
        <f>SUBTOTAL(9, F951:F955)</f>
        <v>7741.67</v>
      </c>
      <c r="G956" s="5">
        <f>SUBTOTAL(9, G951:G955)</f>
        <v>0</v>
      </c>
      <c r="H956" s="5">
        <f>SUBTOTAL(9, H951:H955)</f>
        <v>13274.69</v>
      </c>
      <c r="I956" s="7"/>
      <c r="J956" s="9"/>
      <c r="K956" s="3" t="s">
        <v>16</v>
      </c>
      <c r="L956" s="3" t="s">
        <v>16</v>
      </c>
      <c r="M956" s="3" t="s">
        <v>279</v>
      </c>
    </row>
    <row r="957" spans="1:13" customFormat="1" ht="15" x14ac:dyDescent="0.25">
      <c r="D957" s="14"/>
      <c r="E957" s="14"/>
      <c r="F957" s="14"/>
      <c r="G957" s="14"/>
      <c r="H957" s="14"/>
    </row>
    <row r="958" spans="1:13" x14ac:dyDescent="0.2">
      <c r="A958" s="2" t="s">
        <v>811</v>
      </c>
      <c r="B958" s="2" t="s">
        <v>812</v>
      </c>
      <c r="C958" s="2" t="s">
        <v>813</v>
      </c>
      <c r="G958" s="6">
        <v>2067.15</v>
      </c>
      <c r="H958" s="6">
        <v>2067.15</v>
      </c>
      <c r="I958" s="8">
        <v>45105</v>
      </c>
      <c r="J958" s="10">
        <v>61</v>
      </c>
      <c r="K958" s="2" t="s">
        <v>16</v>
      </c>
      <c r="L958" s="2" t="s">
        <v>17</v>
      </c>
      <c r="M958" s="2" t="s">
        <v>70</v>
      </c>
    </row>
    <row r="959" spans="1:13" customFormat="1" ht="15" x14ac:dyDescent="0.25">
      <c r="D959" s="14"/>
      <c r="E959" s="14"/>
      <c r="F959" s="14"/>
      <c r="G959" s="14"/>
      <c r="H959" s="14"/>
    </row>
    <row r="960" spans="1:13" s="4" customFormat="1" x14ac:dyDescent="0.2">
      <c r="A960" s="3" t="s">
        <v>811</v>
      </c>
      <c r="B960" s="3" t="s">
        <v>812</v>
      </c>
      <c r="C960" s="3" t="s">
        <v>16</v>
      </c>
      <c r="D960" s="5">
        <f>SUBTOTAL(9, D958:D959)</f>
        <v>0</v>
      </c>
      <c r="E960" s="5">
        <f>SUBTOTAL(9, E958:E959)</f>
        <v>0</v>
      </c>
      <c r="F960" s="5">
        <f>SUBTOTAL(9, F958:F959)</f>
        <v>0</v>
      </c>
      <c r="G960" s="5">
        <f>SUBTOTAL(9, G958:G959)</f>
        <v>2067.15</v>
      </c>
      <c r="H960" s="5">
        <f>SUBTOTAL(9, H958:H959)</f>
        <v>2067.15</v>
      </c>
      <c r="I960" s="7"/>
      <c r="J960" s="9"/>
      <c r="K960" s="3" t="s">
        <v>16</v>
      </c>
      <c r="L960" s="3" t="s">
        <v>16</v>
      </c>
      <c r="M960" s="3" t="s">
        <v>70</v>
      </c>
    </row>
    <row r="961" spans="1:13" customFormat="1" ht="15" x14ac:dyDescent="0.25">
      <c r="D961" s="14"/>
      <c r="E961" s="14"/>
      <c r="F961" s="14"/>
      <c r="G961" s="14"/>
      <c r="H961" s="14"/>
    </row>
    <row r="962" spans="1:13" x14ac:dyDescent="0.2">
      <c r="A962" s="2" t="s">
        <v>814</v>
      </c>
      <c r="B962" s="2" t="s">
        <v>815</v>
      </c>
      <c r="C962" s="2" t="s">
        <v>816</v>
      </c>
      <c r="E962" s="6">
        <v>2633.32</v>
      </c>
      <c r="H962" s="6">
        <v>2633.32</v>
      </c>
      <c r="I962" s="8">
        <v>45148</v>
      </c>
      <c r="J962" s="10">
        <v>18</v>
      </c>
      <c r="K962" s="2" t="s">
        <v>78</v>
      </c>
      <c r="L962" s="2" t="s">
        <v>25</v>
      </c>
      <c r="M962" s="2" t="s">
        <v>186</v>
      </c>
    </row>
    <row r="963" spans="1:13" x14ac:dyDescent="0.2">
      <c r="A963" s="2" t="s">
        <v>814</v>
      </c>
      <c r="B963" s="2" t="s">
        <v>815</v>
      </c>
      <c r="C963" s="2" t="s">
        <v>817</v>
      </c>
      <c r="D963" s="6">
        <v>2009.86</v>
      </c>
      <c r="H963" s="6">
        <v>2009.86</v>
      </c>
      <c r="I963" s="8">
        <v>45156</v>
      </c>
      <c r="J963" s="10">
        <v>10</v>
      </c>
      <c r="K963" s="2" t="s">
        <v>78</v>
      </c>
      <c r="L963" s="2" t="s">
        <v>25</v>
      </c>
      <c r="M963" s="2" t="s">
        <v>186</v>
      </c>
    </row>
    <row r="964" spans="1:13" customFormat="1" ht="15" x14ac:dyDescent="0.25">
      <c r="D964" s="14"/>
      <c r="E964" s="14"/>
      <c r="F964" s="14"/>
      <c r="G964" s="14"/>
      <c r="H964" s="14"/>
    </row>
    <row r="965" spans="1:13" s="4" customFormat="1" x14ac:dyDescent="0.2">
      <c r="A965" s="3" t="s">
        <v>814</v>
      </c>
      <c r="B965" s="3" t="s">
        <v>815</v>
      </c>
      <c r="C965" s="3" t="s">
        <v>16</v>
      </c>
      <c r="D965" s="5">
        <f>SUBTOTAL(9, D962:D964)</f>
        <v>2009.86</v>
      </c>
      <c r="E965" s="5">
        <f>SUBTOTAL(9, E962:E964)</f>
        <v>2633.32</v>
      </c>
      <c r="F965" s="5">
        <f>SUBTOTAL(9, F962:F964)</f>
        <v>0</v>
      </c>
      <c r="G965" s="5">
        <f>SUBTOTAL(9, G962:G964)</f>
        <v>0</v>
      </c>
      <c r="H965" s="5">
        <f>SUBTOTAL(9, H962:H964)</f>
        <v>4643.18</v>
      </c>
      <c r="I965" s="7"/>
      <c r="J965" s="9"/>
      <c r="K965" s="3" t="s">
        <v>16</v>
      </c>
      <c r="L965" s="3" t="s">
        <v>16</v>
      </c>
      <c r="M965" s="3" t="s">
        <v>186</v>
      </c>
    </row>
    <row r="966" spans="1:13" customFormat="1" ht="15" x14ac:dyDescent="0.25">
      <c r="D966" s="14"/>
      <c r="E966" s="14"/>
      <c r="F966" s="14"/>
      <c r="G966" s="14"/>
      <c r="H966" s="14"/>
    </row>
    <row r="967" spans="1:13" x14ac:dyDescent="0.2">
      <c r="A967" s="2" t="s">
        <v>818</v>
      </c>
      <c r="B967" s="2" t="s">
        <v>819</v>
      </c>
      <c r="C967" s="2" t="s">
        <v>820</v>
      </c>
      <c r="F967" s="6">
        <v>149.18</v>
      </c>
      <c r="H967" s="6">
        <v>149.18</v>
      </c>
      <c r="I967" s="8">
        <v>45121</v>
      </c>
      <c r="J967" s="10">
        <v>45</v>
      </c>
      <c r="K967" s="2" t="s">
        <v>16</v>
      </c>
      <c r="L967" s="2" t="s">
        <v>36</v>
      </c>
      <c r="M967" s="2" t="s">
        <v>186</v>
      </c>
    </row>
    <row r="968" spans="1:13" x14ac:dyDescent="0.2">
      <c r="A968" s="2" t="s">
        <v>818</v>
      </c>
      <c r="B968" s="2" t="s">
        <v>819</v>
      </c>
      <c r="C968" s="2" t="s">
        <v>821</v>
      </c>
      <c r="F968" s="6">
        <v>210</v>
      </c>
      <c r="H968" s="6">
        <v>210</v>
      </c>
      <c r="I968" s="8">
        <v>45127</v>
      </c>
      <c r="J968" s="10">
        <v>39</v>
      </c>
      <c r="K968" s="2" t="s">
        <v>16</v>
      </c>
      <c r="L968" s="2" t="s">
        <v>36</v>
      </c>
      <c r="M968" s="2" t="s">
        <v>186</v>
      </c>
    </row>
    <row r="969" spans="1:13" x14ac:dyDescent="0.2">
      <c r="A969" s="2" t="s">
        <v>818</v>
      </c>
      <c r="B969" s="2" t="s">
        <v>819</v>
      </c>
      <c r="C969" s="2" t="s">
        <v>822</v>
      </c>
      <c r="F969" s="6">
        <v>420</v>
      </c>
      <c r="H969" s="6">
        <v>420</v>
      </c>
      <c r="I969" s="8">
        <v>45134</v>
      </c>
      <c r="J969" s="10">
        <v>32</v>
      </c>
      <c r="K969" s="2" t="s">
        <v>16</v>
      </c>
      <c r="L969" s="2" t="s">
        <v>36</v>
      </c>
      <c r="M969" s="2" t="s">
        <v>186</v>
      </c>
    </row>
    <row r="970" spans="1:13" customFormat="1" ht="15" x14ac:dyDescent="0.25">
      <c r="D970" s="14"/>
      <c r="E970" s="14"/>
      <c r="F970" s="14"/>
      <c r="G970" s="14"/>
      <c r="H970" s="14"/>
    </row>
    <row r="971" spans="1:13" s="4" customFormat="1" x14ac:dyDescent="0.2">
      <c r="A971" s="3" t="s">
        <v>818</v>
      </c>
      <c r="B971" s="3" t="s">
        <v>819</v>
      </c>
      <c r="C971" s="3" t="s">
        <v>16</v>
      </c>
      <c r="D971" s="5">
        <f>SUBTOTAL(9, D967:D970)</f>
        <v>0</v>
      </c>
      <c r="E971" s="5">
        <f>SUBTOTAL(9, E967:E970)</f>
        <v>0</v>
      </c>
      <c r="F971" s="5">
        <f>SUBTOTAL(9, F967:F970)</f>
        <v>779.18000000000006</v>
      </c>
      <c r="G971" s="5">
        <f>SUBTOTAL(9, G967:G970)</f>
        <v>0</v>
      </c>
      <c r="H971" s="5">
        <f>SUBTOTAL(9, H967:H970)</f>
        <v>779.18000000000006</v>
      </c>
      <c r="I971" s="7"/>
      <c r="J971" s="9"/>
      <c r="K971" s="3" t="s">
        <v>16</v>
      </c>
      <c r="L971" s="3" t="s">
        <v>16</v>
      </c>
      <c r="M971" s="3" t="s">
        <v>186</v>
      </c>
    </row>
    <row r="972" spans="1:13" customFormat="1" ht="15" x14ac:dyDescent="0.25">
      <c r="D972" s="14"/>
      <c r="E972" s="14"/>
      <c r="F972" s="14"/>
      <c r="G972" s="14"/>
      <c r="H972" s="14"/>
    </row>
    <row r="973" spans="1:13" x14ac:dyDescent="0.2">
      <c r="A973" s="2" t="s">
        <v>823</v>
      </c>
      <c r="B973" s="2" t="s">
        <v>824</v>
      </c>
      <c r="C973" s="2" t="s">
        <v>825</v>
      </c>
      <c r="F973" s="6">
        <v>317.95999999999998</v>
      </c>
      <c r="H973" s="6">
        <v>317.95999999999998</v>
      </c>
      <c r="I973" s="8">
        <v>45134</v>
      </c>
      <c r="J973" s="10">
        <v>32</v>
      </c>
      <c r="K973" s="2" t="s">
        <v>16</v>
      </c>
      <c r="L973" s="2" t="s">
        <v>36</v>
      </c>
      <c r="M973" s="2" t="s">
        <v>41</v>
      </c>
    </row>
    <row r="974" spans="1:13" x14ac:dyDescent="0.2">
      <c r="A974" s="2" t="s">
        <v>823</v>
      </c>
      <c r="B974" s="2" t="s">
        <v>824</v>
      </c>
      <c r="C974" s="2" t="s">
        <v>826</v>
      </c>
      <c r="E974" s="6">
        <v>1081.07</v>
      </c>
      <c r="H974" s="6">
        <v>1081.07</v>
      </c>
      <c r="I974" s="8">
        <v>45141</v>
      </c>
      <c r="J974" s="10">
        <v>25</v>
      </c>
      <c r="K974" s="2" t="s">
        <v>16</v>
      </c>
      <c r="L974" s="2" t="s">
        <v>36</v>
      </c>
      <c r="M974" s="2" t="s">
        <v>41</v>
      </c>
    </row>
    <row r="975" spans="1:13" x14ac:dyDescent="0.2">
      <c r="A975" s="2" t="s">
        <v>823</v>
      </c>
      <c r="B975" s="2" t="s">
        <v>824</v>
      </c>
      <c r="C975" s="2" t="s">
        <v>827</v>
      </c>
      <c r="E975" s="6">
        <v>1271.8399999999999</v>
      </c>
      <c r="H975" s="6">
        <v>1271.8399999999999</v>
      </c>
      <c r="I975" s="8">
        <v>45147</v>
      </c>
      <c r="J975" s="10">
        <v>19</v>
      </c>
      <c r="K975" s="2" t="s">
        <v>16</v>
      </c>
      <c r="L975" s="2" t="s">
        <v>36</v>
      </c>
      <c r="M975" s="2" t="s">
        <v>41</v>
      </c>
    </row>
    <row r="976" spans="1:13" x14ac:dyDescent="0.2">
      <c r="A976" s="2" t="s">
        <v>823</v>
      </c>
      <c r="B976" s="2" t="s">
        <v>824</v>
      </c>
      <c r="C976" s="2" t="s">
        <v>828</v>
      </c>
      <c r="D976" s="6">
        <v>1485.84</v>
      </c>
      <c r="H976" s="6">
        <v>1485.84</v>
      </c>
      <c r="I976" s="8">
        <v>45155</v>
      </c>
      <c r="J976" s="10">
        <v>11</v>
      </c>
      <c r="K976" s="2" t="s">
        <v>16</v>
      </c>
      <c r="L976" s="2" t="s">
        <v>36</v>
      </c>
      <c r="M976" s="2" t="s">
        <v>41</v>
      </c>
    </row>
    <row r="977" spans="1:13" x14ac:dyDescent="0.2">
      <c r="A977" s="2" t="s">
        <v>823</v>
      </c>
      <c r="B977" s="2" t="s">
        <v>824</v>
      </c>
      <c r="C977" s="2" t="s">
        <v>829</v>
      </c>
      <c r="D977" s="6">
        <v>904.42</v>
      </c>
      <c r="H977" s="6">
        <v>904.42</v>
      </c>
      <c r="I977" s="8">
        <v>45162</v>
      </c>
      <c r="J977" s="10">
        <v>4</v>
      </c>
      <c r="K977" s="2" t="s">
        <v>16</v>
      </c>
      <c r="L977" s="2" t="s">
        <v>36</v>
      </c>
      <c r="M977" s="2" t="s">
        <v>41</v>
      </c>
    </row>
    <row r="978" spans="1:13" customFormat="1" ht="15" x14ac:dyDescent="0.25">
      <c r="D978" s="14"/>
      <c r="E978" s="14"/>
      <c r="F978" s="14"/>
      <c r="G978" s="14"/>
      <c r="H978" s="14"/>
    </row>
    <row r="979" spans="1:13" s="4" customFormat="1" x14ac:dyDescent="0.2">
      <c r="A979" s="3" t="s">
        <v>823</v>
      </c>
      <c r="B979" s="3" t="s">
        <v>824</v>
      </c>
      <c r="C979" s="3" t="s">
        <v>16</v>
      </c>
      <c r="D979" s="5">
        <f>SUBTOTAL(9, D973:D978)</f>
        <v>2390.2599999999998</v>
      </c>
      <c r="E979" s="5">
        <f>SUBTOTAL(9, E973:E978)</f>
        <v>2352.91</v>
      </c>
      <c r="F979" s="5">
        <f>SUBTOTAL(9, F973:F978)</f>
        <v>317.95999999999998</v>
      </c>
      <c r="G979" s="5">
        <f>SUBTOTAL(9, G973:G978)</f>
        <v>0</v>
      </c>
      <c r="H979" s="5">
        <f>SUBTOTAL(9, H973:H978)</f>
        <v>5061.13</v>
      </c>
      <c r="I979" s="7"/>
      <c r="J979" s="9"/>
      <c r="K979" s="3" t="s">
        <v>16</v>
      </c>
      <c r="L979" s="3" t="s">
        <v>16</v>
      </c>
      <c r="M979" s="3" t="s">
        <v>41</v>
      </c>
    </row>
    <row r="980" spans="1:13" customFormat="1" ht="15" x14ac:dyDescent="0.25">
      <c r="D980" s="14"/>
      <c r="E980" s="14"/>
      <c r="F980" s="14"/>
      <c r="G980" s="14"/>
      <c r="H980" s="14"/>
    </row>
    <row r="981" spans="1:13" x14ac:dyDescent="0.2">
      <c r="A981" s="2" t="s">
        <v>830</v>
      </c>
      <c r="B981" s="2" t="s">
        <v>831</v>
      </c>
      <c r="C981" s="2" t="s">
        <v>832</v>
      </c>
      <c r="E981" s="6">
        <v>2236.8200000000002</v>
      </c>
      <c r="H981" s="6">
        <v>2236.8200000000002</v>
      </c>
      <c r="I981" s="8">
        <v>45148</v>
      </c>
      <c r="J981" s="10">
        <v>18</v>
      </c>
      <c r="K981" s="2" t="s">
        <v>78</v>
      </c>
      <c r="L981" s="2" t="s">
        <v>25</v>
      </c>
      <c r="M981" s="2" t="s">
        <v>237</v>
      </c>
    </row>
    <row r="982" spans="1:13" x14ac:dyDescent="0.2">
      <c r="A982" s="2" t="s">
        <v>830</v>
      </c>
      <c r="B982" s="2" t="s">
        <v>831</v>
      </c>
      <c r="C982" s="2" t="s">
        <v>833</v>
      </c>
      <c r="D982" s="6">
        <v>2001.29</v>
      </c>
      <c r="H982" s="6">
        <v>2001.29</v>
      </c>
      <c r="I982" s="8">
        <v>45156</v>
      </c>
      <c r="J982" s="10">
        <v>10</v>
      </c>
      <c r="K982" s="2" t="s">
        <v>16</v>
      </c>
      <c r="L982" s="2" t="s">
        <v>25</v>
      </c>
      <c r="M982" s="2" t="s">
        <v>237</v>
      </c>
    </row>
    <row r="983" spans="1:13" x14ac:dyDescent="0.2">
      <c r="A983" s="2" t="s">
        <v>830</v>
      </c>
      <c r="B983" s="2" t="s">
        <v>831</v>
      </c>
      <c r="C983" s="2" t="s">
        <v>834</v>
      </c>
      <c r="D983" s="6">
        <v>2150.38</v>
      </c>
      <c r="H983" s="6">
        <v>2150.38</v>
      </c>
      <c r="I983" s="8">
        <v>45160</v>
      </c>
      <c r="J983" s="10">
        <v>6</v>
      </c>
      <c r="K983" s="2" t="s">
        <v>16</v>
      </c>
      <c r="L983" s="2" t="s">
        <v>25</v>
      </c>
      <c r="M983" s="2" t="s">
        <v>237</v>
      </c>
    </row>
    <row r="984" spans="1:13" customFormat="1" ht="15" x14ac:dyDescent="0.25">
      <c r="D984" s="14"/>
      <c r="E984" s="14"/>
      <c r="F984" s="14"/>
      <c r="G984" s="14"/>
      <c r="H984" s="14"/>
    </row>
    <row r="985" spans="1:13" s="4" customFormat="1" x14ac:dyDescent="0.2">
      <c r="A985" s="3" t="s">
        <v>830</v>
      </c>
      <c r="B985" s="3" t="s">
        <v>831</v>
      </c>
      <c r="C985" s="3" t="s">
        <v>16</v>
      </c>
      <c r="D985" s="5">
        <f>SUBTOTAL(9, D981:D984)</f>
        <v>4151.67</v>
      </c>
      <c r="E985" s="5">
        <f>SUBTOTAL(9, E981:E984)</f>
        <v>2236.8200000000002</v>
      </c>
      <c r="F985" s="5">
        <f>SUBTOTAL(9, F981:F984)</f>
        <v>0</v>
      </c>
      <c r="G985" s="5">
        <f>SUBTOTAL(9, G981:G984)</f>
        <v>0</v>
      </c>
      <c r="H985" s="5">
        <f>SUBTOTAL(9, H981:H984)</f>
        <v>6388.4900000000007</v>
      </c>
      <c r="I985" s="7"/>
      <c r="J985" s="9"/>
      <c r="K985" s="3" t="s">
        <v>16</v>
      </c>
      <c r="L985" s="3" t="s">
        <v>16</v>
      </c>
      <c r="M985" s="3" t="s">
        <v>237</v>
      </c>
    </row>
    <row r="986" spans="1:13" customFormat="1" ht="15" x14ac:dyDescent="0.25">
      <c r="D986" s="14"/>
      <c r="E986" s="14"/>
      <c r="F986" s="14"/>
      <c r="G986" s="14"/>
      <c r="H986" s="14"/>
    </row>
    <row r="987" spans="1:13" x14ac:dyDescent="0.2">
      <c r="A987" s="2" t="s">
        <v>835</v>
      </c>
      <c r="B987" s="2" t="s">
        <v>836</v>
      </c>
      <c r="C987" s="2" t="s">
        <v>837</v>
      </c>
      <c r="D987" s="6">
        <v>710.62</v>
      </c>
      <c r="H987" s="6">
        <v>710.62</v>
      </c>
      <c r="I987" s="8">
        <v>45153</v>
      </c>
      <c r="J987" s="10">
        <v>13</v>
      </c>
      <c r="K987" s="2" t="s">
        <v>16</v>
      </c>
      <c r="L987" s="2" t="s">
        <v>36</v>
      </c>
      <c r="M987" s="2" t="s">
        <v>63</v>
      </c>
    </row>
    <row r="988" spans="1:13" customFormat="1" ht="15" x14ac:dyDescent="0.25">
      <c r="D988" s="14"/>
      <c r="E988" s="14"/>
      <c r="F988" s="14"/>
      <c r="G988" s="14"/>
      <c r="H988" s="14"/>
    </row>
    <row r="989" spans="1:13" s="4" customFormat="1" x14ac:dyDescent="0.2">
      <c r="A989" s="3" t="s">
        <v>835</v>
      </c>
      <c r="B989" s="3" t="s">
        <v>836</v>
      </c>
      <c r="C989" s="3" t="s">
        <v>16</v>
      </c>
      <c r="D989" s="5">
        <f>SUBTOTAL(9, D987:D988)</f>
        <v>710.62</v>
      </c>
      <c r="E989" s="5">
        <f>SUBTOTAL(9, E987:E988)</f>
        <v>0</v>
      </c>
      <c r="F989" s="5">
        <f>SUBTOTAL(9, F987:F988)</f>
        <v>0</v>
      </c>
      <c r="G989" s="5">
        <f>SUBTOTAL(9, G987:G988)</f>
        <v>0</v>
      </c>
      <c r="H989" s="5">
        <f>SUBTOTAL(9, H987:H988)</f>
        <v>710.62</v>
      </c>
      <c r="I989" s="7"/>
      <c r="J989" s="9"/>
      <c r="K989" s="3" t="s">
        <v>16</v>
      </c>
      <c r="L989" s="3" t="s">
        <v>16</v>
      </c>
      <c r="M989" s="3" t="s">
        <v>63</v>
      </c>
    </row>
    <row r="990" spans="1:13" customFormat="1" ht="15" x14ac:dyDescent="0.25">
      <c r="D990" s="14"/>
      <c r="E990" s="14"/>
      <c r="F990" s="14"/>
      <c r="G990" s="14"/>
      <c r="H990" s="14"/>
    </row>
    <row r="991" spans="1:13" x14ac:dyDescent="0.2">
      <c r="A991" s="2" t="s">
        <v>838</v>
      </c>
      <c r="B991" s="2" t="s">
        <v>839</v>
      </c>
      <c r="C991" s="2" t="s">
        <v>840</v>
      </c>
      <c r="D991" s="6">
        <v>1342.67</v>
      </c>
      <c r="H991" s="6">
        <v>1342.67</v>
      </c>
      <c r="I991" s="8">
        <v>45162</v>
      </c>
      <c r="J991" s="10">
        <v>4</v>
      </c>
      <c r="K991" s="2" t="s">
        <v>16</v>
      </c>
      <c r="L991" s="2" t="s">
        <v>36</v>
      </c>
      <c r="M991" s="2" t="s">
        <v>18</v>
      </c>
    </row>
    <row r="992" spans="1:13" customFormat="1" ht="15" x14ac:dyDescent="0.25">
      <c r="D992" s="14"/>
      <c r="E992" s="14"/>
      <c r="F992" s="14"/>
      <c r="G992" s="14"/>
      <c r="H992" s="14"/>
    </row>
    <row r="993" spans="1:13" s="4" customFormat="1" x14ac:dyDescent="0.2">
      <c r="A993" s="3" t="s">
        <v>838</v>
      </c>
      <c r="B993" s="3" t="s">
        <v>839</v>
      </c>
      <c r="C993" s="3" t="s">
        <v>16</v>
      </c>
      <c r="D993" s="5">
        <f>SUBTOTAL(9, D991:D992)</f>
        <v>1342.67</v>
      </c>
      <c r="E993" s="5">
        <f>SUBTOTAL(9, E991:E992)</f>
        <v>0</v>
      </c>
      <c r="F993" s="5">
        <f>SUBTOTAL(9, F991:F992)</f>
        <v>0</v>
      </c>
      <c r="G993" s="5">
        <f>SUBTOTAL(9, G991:G992)</f>
        <v>0</v>
      </c>
      <c r="H993" s="5">
        <f>SUBTOTAL(9, H991:H992)</f>
        <v>1342.67</v>
      </c>
      <c r="I993" s="7"/>
      <c r="J993" s="9"/>
      <c r="K993" s="3" t="s">
        <v>16</v>
      </c>
      <c r="L993" s="3" t="s">
        <v>16</v>
      </c>
      <c r="M993" s="3" t="s">
        <v>18</v>
      </c>
    </row>
    <row r="994" spans="1:13" customFormat="1" ht="15" x14ac:dyDescent="0.25">
      <c r="D994" s="14"/>
      <c r="E994" s="14"/>
      <c r="F994" s="14"/>
      <c r="G994" s="14"/>
      <c r="H994" s="14"/>
    </row>
    <row r="995" spans="1:13" x14ac:dyDescent="0.2">
      <c r="A995" s="2" t="s">
        <v>841</v>
      </c>
      <c r="B995" s="2" t="s">
        <v>842</v>
      </c>
      <c r="C995" s="2" t="s">
        <v>843</v>
      </c>
      <c r="E995" s="6">
        <v>1873.13</v>
      </c>
      <c r="H995" s="6">
        <v>1873.13</v>
      </c>
      <c r="I995" s="8">
        <v>45147</v>
      </c>
      <c r="J995" s="10">
        <v>19</v>
      </c>
      <c r="K995" s="2" t="s">
        <v>16</v>
      </c>
      <c r="L995" s="2" t="s">
        <v>25</v>
      </c>
      <c r="M995" s="2" t="s">
        <v>26</v>
      </c>
    </row>
    <row r="996" spans="1:13" customFormat="1" ht="15" x14ac:dyDescent="0.25">
      <c r="D996" s="14"/>
      <c r="E996" s="14"/>
      <c r="F996" s="14"/>
      <c r="G996" s="14"/>
      <c r="H996" s="14"/>
    </row>
    <row r="997" spans="1:13" s="4" customFormat="1" x14ac:dyDescent="0.2">
      <c r="A997" s="3" t="s">
        <v>841</v>
      </c>
      <c r="B997" s="3" t="s">
        <v>842</v>
      </c>
      <c r="C997" s="3" t="s">
        <v>16</v>
      </c>
      <c r="D997" s="5">
        <f>SUBTOTAL(9, D995:D996)</f>
        <v>0</v>
      </c>
      <c r="E997" s="5">
        <f>SUBTOTAL(9, E995:E996)</f>
        <v>1873.13</v>
      </c>
      <c r="F997" s="5">
        <f>SUBTOTAL(9, F995:F996)</f>
        <v>0</v>
      </c>
      <c r="G997" s="5">
        <f>SUBTOTAL(9, G995:G996)</f>
        <v>0</v>
      </c>
      <c r="H997" s="5">
        <f>SUBTOTAL(9, H995:H996)</f>
        <v>1873.13</v>
      </c>
      <c r="I997" s="7"/>
      <c r="J997" s="9"/>
      <c r="K997" s="3" t="s">
        <v>16</v>
      </c>
      <c r="L997" s="3" t="s">
        <v>16</v>
      </c>
      <c r="M997" s="3" t="s">
        <v>26</v>
      </c>
    </row>
    <row r="998" spans="1:13" customFormat="1" ht="15" x14ac:dyDescent="0.25">
      <c r="D998" s="14"/>
      <c r="E998" s="14"/>
      <c r="F998" s="14"/>
      <c r="G998" s="14"/>
      <c r="H998" s="14"/>
    </row>
    <row r="999" spans="1:13" x14ac:dyDescent="0.2">
      <c r="A999" s="2" t="s">
        <v>844</v>
      </c>
      <c r="B999" s="2" t="s">
        <v>845</v>
      </c>
      <c r="C999" s="2" t="s">
        <v>846</v>
      </c>
      <c r="E999" s="6">
        <v>701.08</v>
      </c>
      <c r="H999" s="6">
        <v>701.08</v>
      </c>
      <c r="I999" s="8">
        <v>45146</v>
      </c>
      <c r="J999" s="10">
        <v>20</v>
      </c>
      <c r="K999" s="2" t="s">
        <v>16</v>
      </c>
      <c r="L999" s="2" t="s">
        <v>17</v>
      </c>
      <c r="M999" s="2" t="s">
        <v>32</v>
      </c>
    </row>
    <row r="1000" spans="1:13" customFormat="1" ht="15" x14ac:dyDescent="0.25">
      <c r="D1000" s="14"/>
      <c r="E1000" s="14"/>
      <c r="F1000" s="14"/>
      <c r="G1000" s="14"/>
      <c r="H1000" s="14"/>
    </row>
    <row r="1001" spans="1:13" s="4" customFormat="1" x14ac:dyDescent="0.2">
      <c r="A1001" s="3" t="s">
        <v>844</v>
      </c>
      <c r="B1001" s="3" t="s">
        <v>845</v>
      </c>
      <c r="C1001" s="3" t="s">
        <v>16</v>
      </c>
      <c r="D1001" s="5">
        <f>SUBTOTAL(9, D999:D1000)</f>
        <v>0</v>
      </c>
      <c r="E1001" s="5">
        <f>SUBTOTAL(9, E999:E1000)</f>
        <v>701.08</v>
      </c>
      <c r="F1001" s="5">
        <f>SUBTOTAL(9, F999:F1000)</f>
        <v>0</v>
      </c>
      <c r="G1001" s="5">
        <f>SUBTOTAL(9, G999:G1000)</f>
        <v>0</v>
      </c>
      <c r="H1001" s="5">
        <f>SUBTOTAL(9, H999:H1000)</f>
        <v>701.08</v>
      </c>
      <c r="I1001" s="7"/>
      <c r="J1001" s="9"/>
      <c r="K1001" s="3" t="s">
        <v>16</v>
      </c>
      <c r="L1001" s="3" t="s">
        <v>16</v>
      </c>
      <c r="M1001" s="3" t="s">
        <v>32</v>
      </c>
    </row>
    <row r="1002" spans="1:13" customFormat="1" ht="15" x14ac:dyDescent="0.25">
      <c r="D1002" s="14"/>
      <c r="E1002" s="14"/>
      <c r="F1002" s="14"/>
      <c r="G1002" s="14"/>
      <c r="H1002" s="14"/>
    </row>
    <row r="1003" spans="1:13" x14ac:dyDescent="0.2">
      <c r="A1003" s="2" t="s">
        <v>847</v>
      </c>
      <c r="B1003" s="2" t="s">
        <v>848</v>
      </c>
      <c r="C1003" s="2" t="s">
        <v>849</v>
      </c>
      <c r="E1003" s="6">
        <v>1374.96</v>
      </c>
      <c r="H1003" s="6">
        <v>1374.96</v>
      </c>
      <c r="I1003" s="8">
        <v>45138</v>
      </c>
      <c r="J1003" s="10">
        <v>28</v>
      </c>
      <c r="K1003" s="2" t="s">
        <v>16</v>
      </c>
      <c r="L1003" s="2" t="s">
        <v>25</v>
      </c>
      <c r="M1003" s="2" t="s">
        <v>98</v>
      </c>
    </row>
    <row r="1004" spans="1:13" customFormat="1" ht="15" x14ac:dyDescent="0.25">
      <c r="D1004" s="14"/>
      <c r="E1004" s="14"/>
      <c r="F1004" s="14"/>
      <c r="G1004" s="14"/>
      <c r="H1004" s="14"/>
    </row>
    <row r="1005" spans="1:13" s="4" customFormat="1" x14ac:dyDescent="0.2">
      <c r="A1005" s="3" t="s">
        <v>847</v>
      </c>
      <c r="B1005" s="3" t="s">
        <v>848</v>
      </c>
      <c r="C1005" s="3" t="s">
        <v>16</v>
      </c>
      <c r="D1005" s="5">
        <f>SUBTOTAL(9, D1003:D1004)</f>
        <v>0</v>
      </c>
      <c r="E1005" s="5">
        <f>SUBTOTAL(9, E1003:E1004)</f>
        <v>1374.96</v>
      </c>
      <c r="F1005" s="5">
        <f>SUBTOTAL(9, F1003:F1004)</f>
        <v>0</v>
      </c>
      <c r="G1005" s="5">
        <f>SUBTOTAL(9, G1003:G1004)</f>
        <v>0</v>
      </c>
      <c r="H1005" s="5">
        <f>SUBTOTAL(9, H1003:H1004)</f>
        <v>1374.96</v>
      </c>
      <c r="I1005" s="7"/>
      <c r="J1005" s="9"/>
      <c r="K1005" s="3" t="s">
        <v>16</v>
      </c>
      <c r="L1005" s="3" t="s">
        <v>16</v>
      </c>
      <c r="M1005" s="3" t="s">
        <v>98</v>
      </c>
    </row>
    <row r="1006" spans="1:13" customFormat="1" ht="15" x14ac:dyDescent="0.25">
      <c r="D1006" s="14"/>
      <c r="E1006" s="14"/>
      <c r="F1006" s="14"/>
      <c r="G1006" s="14"/>
      <c r="H1006" s="14"/>
    </row>
    <row r="1007" spans="1:13" x14ac:dyDescent="0.2">
      <c r="A1007" s="2" t="s">
        <v>850</v>
      </c>
      <c r="B1007" s="2" t="s">
        <v>851</v>
      </c>
      <c r="C1007" s="2" t="s">
        <v>852</v>
      </c>
      <c r="F1007" s="6">
        <v>1132.8800000000001</v>
      </c>
      <c r="H1007" s="6">
        <v>1132.8800000000001</v>
      </c>
      <c r="I1007" s="8">
        <v>45134</v>
      </c>
      <c r="J1007" s="10">
        <v>32</v>
      </c>
      <c r="K1007" s="2" t="s">
        <v>16</v>
      </c>
      <c r="L1007" s="2" t="s">
        <v>25</v>
      </c>
      <c r="M1007" s="2" t="s">
        <v>26</v>
      </c>
    </row>
    <row r="1008" spans="1:13" x14ac:dyDescent="0.2">
      <c r="A1008" s="2" t="s">
        <v>850</v>
      </c>
      <c r="B1008" s="2" t="s">
        <v>851</v>
      </c>
      <c r="C1008" s="2" t="s">
        <v>853</v>
      </c>
      <c r="E1008" s="6">
        <v>1466.08</v>
      </c>
      <c r="H1008" s="6">
        <v>1466.08</v>
      </c>
      <c r="I1008" s="8">
        <v>45142</v>
      </c>
      <c r="J1008" s="10">
        <v>24</v>
      </c>
      <c r="K1008" s="2" t="s">
        <v>16</v>
      </c>
      <c r="L1008" s="2" t="s">
        <v>25</v>
      </c>
      <c r="M1008" s="2" t="s">
        <v>26</v>
      </c>
    </row>
    <row r="1009" spans="1:13" x14ac:dyDescent="0.2">
      <c r="A1009" s="2" t="s">
        <v>850</v>
      </c>
      <c r="B1009" s="2" t="s">
        <v>851</v>
      </c>
      <c r="C1009" s="2" t="s">
        <v>854</v>
      </c>
      <c r="E1009" s="6">
        <v>1865.92</v>
      </c>
      <c r="H1009" s="6">
        <v>1865.92</v>
      </c>
      <c r="I1009" s="8">
        <v>45147</v>
      </c>
      <c r="J1009" s="10">
        <v>19</v>
      </c>
      <c r="K1009" s="2" t="s">
        <v>16</v>
      </c>
      <c r="L1009" s="2" t="s">
        <v>25</v>
      </c>
      <c r="M1009" s="2" t="s">
        <v>26</v>
      </c>
    </row>
    <row r="1010" spans="1:13" x14ac:dyDescent="0.2">
      <c r="A1010" s="2" t="s">
        <v>850</v>
      </c>
      <c r="B1010" s="2" t="s">
        <v>851</v>
      </c>
      <c r="C1010" s="2" t="s">
        <v>855</v>
      </c>
      <c r="D1010" s="6">
        <v>1999.2</v>
      </c>
      <c r="H1010" s="6">
        <v>1999.2</v>
      </c>
      <c r="I1010" s="8">
        <v>45155</v>
      </c>
      <c r="J1010" s="10">
        <v>11</v>
      </c>
      <c r="K1010" s="2" t="s">
        <v>16</v>
      </c>
      <c r="L1010" s="2" t="s">
        <v>25</v>
      </c>
      <c r="M1010" s="2" t="s">
        <v>26</v>
      </c>
    </row>
    <row r="1011" spans="1:13" x14ac:dyDescent="0.2">
      <c r="A1011" s="2" t="s">
        <v>850</v>
      </c>
      <c r="B1011" s="2" t="s">
        <v>851</v>
      </c>
      <c r="C1011" s="2" t="s">
        <v>856</v>
      </c>
      <c r="D1011" s="6">
        <v>1132.8800000000001</v>
      </c>
      <c r="H1011" s="6">
        <v>1132.8800000000001</v>
      </c>
      <c r="I1011" s="8">
        <v>45162</v>
      </c>
      <c r="J1011" s="10">
        <v>4</v>
      </c>
      <c r="K1011" s="2" t="s">
        <v>16</v>
      </c>
      <c r="L1011" s="2" t="s">
        <v>25</v>
      </c>
      <c r="M1011" s="2" t="s">
        <v>26</v>
      </c>
    </row>
    <row r="1012" spans="1:13" customFormat="1" ht="15" x14ac:dyDescent="0.25">
      <c r="D1012" s="14"/>
      <c r="E1012" s="14"/>
      <c r="F1012" s="14"/>
      <c r="G1012" s="14"/>
      <c r="H1012" s="14"/>
    </row>
    <row r="1013" spans="1:13" s="4" customFormat="1" x14ac:dyDescent="0.2">
      <c r="A1013" s="3" t="s">
        <v>850</v>
      </c>
      <c r="B1013" s="3" t="s">
        <v>851</v>
      </c>
      <c r="C1013" s="3" t="s">
        <v>16</v>
      </c>
      <c r="D1013" s="5">
        <f>SUBTOTAL(9, D1007:D1012)</f>
        <v>3132.08</v>
      </c>
      <c r="E1013" s="5">
        <f>SUBTOTAL(9, E1007:E1012)</f>
        <v>3332</v>
      </c>
      <c r="F1013" s="5">
        <f>SUBTOTAL(9, F1007:F1012)</f>
        <v>1132.8800000000001</v>
      </c>
      <c r="G1013" s="5">
        <f>SUBTOTAL(9, G1007:G1012)</f>
        <v>0</v>
      </c>
      <c r="H1013" s="5">
        <f>SUBTOTAL(9, H1007:H1012)</f>
        <v>7596.96</v>
      </c>
      <c r="I1013" s="7"/>
      <c r="J1013" s="9"/>
      <c r="K1013" s="3" t="s">
        <v>16</v>
      </c>
      <c r="L1013" s="3" t="s">
        <v>16</v>
      </c>
      <c r="M1013" s="3" t="s">
        <v>26</v>
      </c>
    </row>
    <row r="1014" spans="1:13" customFormat="1" ht="15" x14ac:dyDescent="0.25">
      <c r="D1014" s="14"/>
      <c r="E1014" s="14"/>
      <c r="F1014" s="14"/>
      <c r="G1014" s="14"/>
      <c r="H1014" s="14"/>
    </row>
    <row r="1015" spans="1:13" x14ac:dyDescent="0.2">
      <c r="A1015" s="2" t="s">
        <v>857</v>
      </c>
      <c r="B1015" s="2" t="s">
        <v>858</v>
      </c>
      <c r="C1015" s="2" t="s">
        <v>859</v>
      </c>
      <c r="F1015" s="6">
        <v>1.04</v>
      </c>
      <c r="H1015" s="6">
        <v>1.04</v>
      </c>
      <c r="I1015" s="8">
        <v>45124</v>
      </c>
      <c r="J1015" s="10">
        <v>42</v>
      </c>
      <c r="K1015" s="2" t="s">
        <v>16</v>
      </c>
      <c r="L1015" s="2" t="s">
        <v>36</v>
      </c>
      <c r="M1015" s="2" t="s">
        <v>63</v>
      </c>
    </row>
    <row r="1016" spans="1:13" customFormat="1" ht="15" x14ac:dyDescent="0.25">
      <c r="D1016" s="14"/>
      <c r="E1016" s="14"/>
      <c r="F1016" s="14"/>
      <c r="G1016" s="14"/>
      <c r="H1016" s="14"/>
    </row>
    <row r="1017" spans="1:13" s="4" customFormat="1" x14ac:dyDescent="0.2">
      <c r="A1017" s="3" t="s">
        <v>857</v>
      </c>
      <c r="B1017" s="3" t="s">
        <v>858</v>
      </c>
      <c r="C1017" s="3" t="s">
        <v>16</v>
      </c>
      <c r="D1017" s="5">
        <f>SUBTOTAL(9, D1015:D1016)</f>
        <v>0</v>
      </c>
      <c r="E1017" s="5">
        <f>SUBTOTAL(9, E1015:E1016)</f>
        <v>0</v>
      </c>
      <c r="F1017" s="5">
        <f>SUBTOTAL(9, F1015:F1016)</f>
        <v>1.04</v>
      </c>
      <c r="G1017" s="5">
        <f>SUBTOTAL(9, G1015:G1016)</f>
        <v>0</v>
      </c>
      <c r="H1017" s="5">
        <f>SUBTOTAL(9, H1015:H1016)</f>
        <v>1.04</v>
      </c>
      <c r="I1017" s="7"/>
      <c r="J1017" s="9"/>
      <c r="K1017" s="3" t="s">
        <v>16</v>
      </c>
      <c r="L1017" s="3" t="s">
        <v>16</v>
      </c>
      <c r="M1017" s="3" t="s">
        <v>63</v>
      </c>
    </row>
    <row r="1018" spans="1:13" customFormat="1" ht="15" x14ac:dyDescent="0.25">
      <c r="D1018" s="14"/>
      <c r="E1018" s="14"/>
      <c r="F1018" s="14"/>
      <c r="G1018" s="14"/>
      <c r="H1018" s="14"/>
    </row>
    <row r="1019" spans="1:13" x14ac:dyDescent="0.2">
      <c r="A1019" s="2" t="s">
        <v>860</v>
      </c>
      <c r="B1019" s="2" t="s">
        <v>861</v>
      </c>
      <c r="C1019" s="2" t="s">
        <v>862</v>
      </c>
      <c r="D1019" s="6">
        <v>3320.24</v>
      </c>
      <c r="H1019" s="6">
        <v>3320.24</v>
      </c>
      <c r="I1019" s="8">
        <v>45159</v>
      </c>
      <c r="J1019" s="10">
        <v>7</v>
      </c>
      <c r="K1019" s="2" t="s">
        <v>16</v>
      </c>
      <c r="L1019" s="2" t="s">
        <v>36</v>
      </c>
      <c r="M1019" s="2" t="s">
        <v>63</v>
      </c>
    </row>
    <row r="1020" spans="1:13" customFormat="1" ht="15" x14ac:dyDescent="0.25">
      <c r="D1020" s="14"/>
      <c r="E1020" s="14"/>
      <c r="F1020" s="14"/>
      <c r="G1020" s="14"/>
      <c r="H1020" s="14"/>
    </row>
    <row r="1021" spans="1:13" s="4" customFormat="1" x14ac:dyDescent="0.2">
      <c r="A1021" s="3" t="s">
        <v>860</v>
      </c>
      <c r="B1021" s="3" t="s">
        <v>861</v>
      </c>
      <c r="C1021" s="3" t="s">
        <v>16</v>
      </c>
      <c r="D1021" s="5">
        <f>SUBTOTAL(9, D1019:D1020)</f>
        <v>3320.24</v>
      </c>
      <c r="E1021" s="5">
        <f>SUBTOTAL(9, E1019:E1020)</f>
        <v>0</v>
      </c>
      <c r="F1021" s="5">
        <f>SUBTOTAL(9, F1019:F1020)</f>
        <v>0</v>
      </c>
      <c r="G1021" s="5">
        <f>SUBTOTAL(9, G1019:G1020)</f>
        <v>0</v>
      </c>
      <c r="H1021" s="5">
        <f>SUBTOTAL(9, H1019:H1020)</f>
        <v>3320.24</v>
      </c>
      <c r="I1021" s="7"/>
      <c r="J1021" s="9"/>
      <c r="K1021" s="3" t="s">
        <v>16</v>
      </c>
      <c r="L1021" s="3" t="s">
        <v>16</v>
      </c>
      <c r="M1021" s="3" t="s">
        <v>63</v>
      </c>
    </row>
    <row r="1022" spans="1:13" customFormat="1" ht="15" x14ac:dyDescent="0.25">
      <c r="D1022" s="14"/>
      <c r="E1022" s="14"/>
      <c r="F1022" s="14"/>
      <c r="G1022" s="14"/>
      <c r="H1022" s="14"/>
    </row>
    <row r="1023" spans="1:13" x14ac:dyDescent="0.2">
      <c r="A1023" s="2" t="s">
        <v>863</v>
      </c>
      <c r="B1023" s="2" t="s">
        <v>864</v>
      </c>
      <c r="C1023" s="2" t="s">
        <v>865</v>
      </c>
      <c r="G1023" s="6">
        <v>5782.62</v>
      </c>
      <c r="H1023" s="6">
        <v>5782.62</v>
      </c>
      <c r="I1023" s="8">
        <v>45061</v>
      </c>
      <c r="J1023" s="10">
        <v>105</v>
      </c>
      <c r="K1023" s="2" t="s">
        <v>471</v>
      </c>
      <c r="L1023" s="2" t="s">
        <v>17</v>
      </c>
      <c r="M1023" s="2" t="s">
        <v>471</v>
      </c>
    </row>
    <row r="1024" spans="1:13" x14ac:dyDescent="0.2">
      <c r="A1024" s="2" t="s">
        <v>863</v>
      </c>
      <c r="B1024" s="2" t="s">
        <v>864</v>
      </c>
      <c r="C1024" s="2" t="s">
        <v>866</v>
      </c>
      <c r="G1024" s="6">
        <v>6878.98</v>
      </c>
      <c r="H1024" s="6">
        <v>6878.98</v>
      </c>
      <c r="I1024" s="8">
        <v>45068</v>
      </c>
      <c r="J1024" s="10">
        <v>98</v>
      </c>
      <c r="K1024" s="2" t="s">
        <v>471</v>
      </c>
      <c r="L1024" s="2" t="s">
        <v>17</v>
      </c>
      <c r="M1024" s="2" t="s">
        <v>471</v>
      </c>
    </row>
    <row r="1025" spans="1:13" x14ac:dyDescent="0.2">
      <c r="A1025" s="2" t="s">
        <v>863</v>
      </c>
      <c r="B1025" s="2" t="s">
        <v>864</v>
      </c>
      <c r="C1025" s="2" t="s">
        <v>867</v>
      </c>
      <c r="G1025" s="6">
        <v>6664</v>
      </c>
      <c r="H1025" s="6">
        <v>6664</v>
      </c>
      <c r="I1025" s="8">
        <v>45075</v>
      </c>
      <c r="J1025" s="10">
        <v>91</v>
      </c>
      <c r="K1025" s="2" t="s">
        <v>471</v>
      </c>
      <c r="L1025" s="2" t="s">
        <v>17</v>
      </c>
      <c r="M1025" s="2" t="s">
        <v>471</v>
      </c>
    </row>
    <row r="1026" spans="1:13" x14ac:dyDescent="0.2">
      <c r="A1026" s="2" t="s">
        <v>863</v>
      </c>
      <c r="B1026" s="2" t="s">
        <v>864</v>
      </c>
      <c r="C1026" s="2" t="s">
        <v>868</v>
      </c>
      <c r="G1026" s="6">
        <v>7545.38</v>
      </c>
      <c r="H1026" s="6">
        <v>7545.38</v>
      </c>
      <c r="I1026" s="8">
        <v>45082</v>
      </c>
      <c r="J1026" s="10">
        <v>84</v>
      </c>
      <c r="K1026" s="2" t="s">
        <v>471</v>
      </c>
      <c r="L1026" s="2" t="s">
        <v>89</v>
      </c>
      <c r="M1026" s="2" t="s">
        <v>471</v>
      </c>
    </row>
    <row r="1027" spans="1:13" customFormat="1" ht="15" x14ac:dyDescent="0.25">
      <c r="D1027" s="14"/>
      <c r="E1027" s="14"/>
      <c r="F1027" s="14"/>
      <c r="G1027" s="14"/>
      <c r="H1027" s="14"/>
    </row>
    <row r="1028" spans="1:13" s="4" customFormat="1" x14ac:dyDescent="0.2">
      <c r="A1028" s="3" t="s">
        <v>863</v>
      </c>
      <c r="B1028" s="3" t="s">
        <v>864</v>
      </c>
      <c r="C1028" s="3" t="s">
        <v>16</v>
      </c>
      <c r="D1028" s="5">
        <f>SUBTOTAL(9, D1023:D1027)</f>
        <v>0</v>
      </c>
      <c r="E1028" s="5">
        <f>SUBTOTAL(9, E1023:E1027)</f>
        <v>0</v>
      </c>
      <c r="F1028" s="5">
        <f>SUBTOTAL(9, F1023:F1027)</f>
        <v>0</v>
      </c>
      <c r="G1028" s="5">
        <f>SUBTOTAL(9, G1023:G1027)</f>
        <v>26870.98</v>
      </c>
      <c r="H1028" s="5">
        <f>SUBTOTAL(9, H1023:H1027)</f>
        <v>26870.98</v>
      </c>
      <c r="I1028" s="7"/>
      <c r="J1028" s="9"/>
      <c r="K1028" s="3" t="s">
        <v>16</v>
      </c>
      <c r="L1028" s="3" t="s">
        <v>16</v>
      </c>
      <c r="M1028" s="3" t="s">
        <v>471</v>
      </c>
    </row>
    <row r="1029" spans="1:13" customFormat="1" ht="15" x14ac:dyDescent="0.25">
      <c r="D1029" s="14"/>
      <c r="E1029" s="14"/>
      <c r="F1029" s="14"/>
      <c r="G1029" s="14"/>
      <c r="H1029" s="14"/>
    </row>
    <row r="1030" spans="1:13" x14ac:dyDescent="0.2">
      <c r="A1030" s="2" t="s">
        <v>869</v>
      </c>
      <c r="B1030" s="2" t="s">
        <v>870</v>
      </c>
      <c r="C1030" s="2" t="s">
        <v>871</v>
      </c>
      <c r="D1030" s="6">
        <v>2123.9699999999998</v>
      </c>
      <c r="H1030" s="6">
        <v>2123.9699999999998</v>
      </c>
      <c r="I1030" s="8">
        <v>45166</v>
      </c>
      <c r="K1030" s="2" t="s">
        <v>16</v>
      </c>
      <c r="L1030" s="2" t="s">
        <v>89</v>
      </c>
      <c r="M1030" s="2" t="s">
        <v>98</v>
      </c>
    </row>
    <row r="1031" spans="1:13" customFormat="1" ht="15" x14ac:dyDescent="0.25">
      <c r="D1031" s="14"/>
      <c r="E1031" s="14"/>
      <c r="F1031" s="14"/>
      <c r="G1031" s="14"/>
      <c r="H1031" s="14"/>
    </row>
    <row r="1032" spans="1:13" s="4" customFormat="1" x14ac:dyDescent="0.2">
      <c r="A1032" s="3" t="s">
        <v>869</v>
      </c>
      <c r="B1032" s="3" t="s">
        <v>870</v>
      </c>
      <c r="C1032" s="3" t="s">
        <v>16</v>
      </c>
      <c r="D1032" s="5">
        <f>SUBTOTAL(9, D1030:D1031)</f>
        <v>2123.9699999999998</v>
      </c>
      <c r="E1032" s="5">
        <f>SUBTOTAL(9, E1030:E1031)</f>
        <v>0</v>
      </c>
      <c r="F1032" s="5">
        <f>SUBTOTAL(9, F1030:F1031)</f>
        <v>0</v>
      </c>
      <c r="G1032" s="5">
        <f>SUBTOTAL(9, G1030:G1031)</f>
        <v>0</v>
      </c>
      <c r="H1032" s="5">
        <f>SUBTOTAL(9, H1030:H1031)</f>
        <v>2123.9699999999998</v>
      </c>
      <c r="I1032" s="7"/>
      <c r="J1032" s="9"/>
      <c r="K1032" s="3" t="s">
        <v>16</v>
      </c>
      <c r="L1032" s="3" t="s">
        <v>16</v>
      </c>
      <c r="M1032" s="3" t="s">
        <v>98</v>
      </c>
    </row>
    <row r="1033" spans="1:13" customFormat="1" ht="15" x14ac:dyDescent="0.25">
      <c r="D1033" s="14"/>
      <c r="E1033" s="14"/>
      <c r="F1033" s="14"/>
      <c r="G1033" s="14"/>
      <c r="H1033" s="14"/>
    </row>
    <row r="1034" spans="1:13" x14ac:dyDescent="0.2">
      <c r="A1034" s="2" t="s">
        <v>872</v>
      </c>
      <c r="B1034" s="2" t="s">
        <v>873</v>
      </c>
      <c r="C1034" s="2" t="s">
        <v>874</v>
      </c>
      <c r="D1034" s="6">
        <v>815.38</v>
      </c>
      <c r="H1034" s="6">
        <v>815.38</v>
      </c>
      <c r="I1034" s="8">
        <v>45166</v>
      </c>
      <c r="K1034" s="2" t="s">
        <v>16</v>
      </c>
      <c r="L1034" s="2" t="s">
        <v>36</v>
      </c>
      <c r="M1034" s="2" t="s">
        <v>59</v>
      </c>
    </row>
    <row r="1035" spans="1:13" customFormat="1" ht="15" x14ac:dyDescent="0.25">
      <c r="D1035" s="14"/>
      <c r="E1035" s="14"/>
      <c r="F1035" s="14"/>
      <c r="G1035" s="14"/>
      <c r="H1035" s="14"/>
    </row>
    <row r="1036" spans="1:13" s="4" customFormat="1" x14ac:dyDescent="0.2">
      <c r="A1036" s="3" t="s">
        <v>872</v>
      </c>
      <c r="B1036" s="3" t="s">
        <v>873</v>
      </c>
      <c r="C1036" s="3" t="s">
        <v>16</v>
      </c>
      <c r="D1036" s="5">
        <f>SUBTOTAL(9, D1034:D1035)</f>
        <v>815.38</v>
      </c>
      <c r="E1036" s="5">
        <f>SUBTOTAL(9, E1034:E1035)</f>
        <v>0</v>
      </c>
      <c r="F1036" s="5">
        <f>SUBTOTAL(9, F1034:F1035)</f>
        <v>0</v>
      </c>
      <c r="G1036" s="5">
        <f>SUBTOTAL(9, G1034:G1035)</f>
        <v>0</v>
      </c>
      <c r="H1036" s="5">
        <f>SUBTOTAL(9, H1034:H1035)</f>
        <v>815.38</v>
      </c>
      <c r="I1036" s="7"/>
      <c r="J1036" s="9"/>
      <c r="K1036" s="3" t="s">
        <v>16</v>
      </c>
      <c r="L1036" s="3" t="s">
        <v>16</v>
      </c>
      <c r="M1036" s="3" t="s">
        <v>59</v>
      </c>
    </row>
    <row r="1037" spans="1:13" customFormat="1" ht="15" x14ac:dyDescent="0.25">
      <c r="D1037" s="14"/>
      <c r="E1037" s="14"/>
      <c r="F1037" s="14"/>
      <c r="G1037" s="14"/>
      <c r="H1037" s="14"/>
    </row>
    <row r="1038" spans="1:13" x14ac:dyDescent="0.2">
      <c r="A1038" s="2" t="s">
        <v>875</v>
      </c>
      <c r="B1038" s="2" t="s">
        <v>876</v>
      </c>
      <c r="C1038" s="2" t="s">
        <v>877</v>
      </c>
      <c r="E1038" s="6">
        <v>953.88</v>
      </c>
      <c r="H1038" s="6">
        <v>953.88</v>
      </c>
      <c r="I1038" s="8">
        <v>45147</v>
      </c>
      <c r="J1038" s="10">
        <v>19</v>
      </c>
      <c r="K1038" s="2" t="s">
        <v>16</v>
      </c>
      <c r="L1038" s="2" t="s">
        <v>36</v>
      </c>
      <c r="M1038" s="2" t="s">
        <v>41</v>
      </c>
    </row>
    <row r="1039" spans="1:13" customFormat="1" ht="15" x14ac:dyDescent="0.25">
      <c r="D1039" s="14"/>
      <c r="E1039" s="14"/>
      <c r="F1039" s="14"/>
      <c r="G1039" s="14"/>
      <c r="H1039" s="14"/>
    </row>
    <row r="1040" spans="1:13" s="4" customFormat="1" x14ac:dyDescent="0.2">
      <c r="A1040" s="3" t="s">
        <v>875</v>
      </c>
      <c r="B1040" s="3" t="s">
        <v>876</v>
      </c>
      <c r="C1040" s="3" t="s">
        <v>16</v>
      </c>
      <c r="D1040" s="5">
        <f>SUBTOTAL(9, D1038:D1039)</f>
        <v>0</v>
      </c>
      <c r="E1040" s="5">
        <f>SUBTOTAL(9, E1038:E1039)</f>
        <v>953.88</v>
      </c>
      <c r="F1040" s="5">
        <f>SUBTOTAL(9, F1038:F1039)</f>
        <v>0</v>
      </c>
      <c r="G1040" s="5">
        <f>SUBTOTAL(9, G1038:G1039)</f>
        <v>0</v>
      </c>
      <c r="H1040" s="5">
        <f>SUBTOTAL(9, H1038:H1039)</f>
        <v>953.88</v>
      </c>
      <c r="I1040" s="7"/>
      <c r="J1040" s="9"/>
      <c r="K1040" s="3" t="s">
        <v>16</v>
      </c>
      <c r="L1040" s="3" t="s">
        <v>16</v>
      </c>
      <c r="M1040" s="3" t="s">
        <v>41</v>
      </c>
    </row>
    <row r="1041" spans="1:13" customFormat="1" ht="15" x14ac:dyDescent="0.25">
      <c r="D1041" s="14"/>
      <c r="E1041" s="14"/>
      <c r="F1041" s="14"/>
      <c r="G1041" s="14"/>
      <c r="H1041" s="14"/>
    </row>
    <row r="1042" spans="1:13" x14ac:dyDescent="0.2">
      <c r="A1042" s="2" t="s">
        <v>878</v>
      </c>
      <c r="B1042" s="2" t="s">
        <v>879</v>
      </c>
      <c r="C1042" s="2" t="s">
        <v>880</v>
      </c>
      <c r="E1042" s="6">
        <v>95.2</v>
      </c>
      <c r="H1042" s="6">
        <v>95.2</v>
      </c>
      <c r="I1042" s="8">
        <v>45140</v>
      </c>
      <c r="J1042" s="10">
        <v>26</v>
      </c>
      <c r="K1042" s="2" t="s">
        <v>16</v>
      </c>
      <c r="L1042" s="2" t="s">
        <v>17</v>
      </c>
      <c r="M1042" s="2" t="s">
        <v>32</v>
      </c>
    </row>
    <row r="1043" spans="1:13" x14ac:dyDescent="0.2">
      <c r="A1043" s="2" t="s">
        <v>878</v>
      </c>
      <c r="B1043" s="2" t="s">
        <v>879</v>
      </c>
      <c r="C1043" s="2" t="s">
        <v>881</v>
      </c>
      <c r="D1043" s="6">
        <v>140</v>
      </c>
      <c r="H1043" s="6">
        <v>140</v>
      </c>
      <c r="I1043" s="8">
        <v>45159</v>
      </c>
      <c r="J1043" s="10">
        <v>7</v>
      </c>
      <c r="K1043" s="2" t="s">
        <v>16</v>
      </c>
      <c r="L1043" s="2" t="s">
        <v>17</v>
      </c>
      <c r="M1043" s="2" t="s">
        <v>32</v>
      </c>
    </row>
    <row r="1044" spans="1:13" customFormat="1" ht="15" x14ac:dyDescent="0.25">
      <c r="D1044" s="14"/>
      <c r="E1044" s="14"/>
      <c r="F1044" s="14"/>
      <c r="G1044" s="14"/>
      <c r="H1044" s="14"/>
    </row>
    <row r="1045" spans="1:13" s="4" customFormat="1" x14ac:dyDescent="0.2">
      <c r="A1045" s="3" t="s">
        <v>878</v>
      </c>
      <c r="B1045" s="3" t="s">
        <v>879</v>
      </c>
      <c r="C1045" s="3" t="s">
        <v>16</v>
      </c>
      <c r="D1045" s="5">
        <f>SUBTOTAL(9, D1042:D1044)</f>
        <v>140</v>
      </c>
      <c r="E1045" s="5">
        <f>SUBTOTAL(9, E1042:E1044)</f>
        <v>95.2</v>
      </c>
      <c r="F1045" s="5">
        <f>SUBTOTAL(9, F1042:F1044)</f>
        <v>0</v>
      </c>
      <c r="G1045" s="5">
        <f>SUBTOTAL(9, G1042:G1044)</f>
        <v>0</v>
      </c>
      <c r="H1045" s="5">
        <f>SUBTOTAL(9, H1042:H1044)</f>
        <v>235.2</v>
      </c>
      <c r="I1045" s="7"/>
      <c r="J1045" s="9"/>
      <c r="K1045" s="3" t="s">
        <v>16</v>
      </c>
      <c r="L1045" s="3" t="s">
        <v>16</v>
      </c>
      <c r="M1045" s="3" t="s">
        <v>32</v>
      </c>
    </row>
    <row r="1046" spans="1:13" customFormat="1" ht="15" x14ac:dyDescent="0.25">
      <c r="D1046" s="14"/>
      <c r="E1046" s="14"/>
      <c r="F1046" s="14"/>
      <c r="G1046" s="14"/>
      <c r="H1046" s="14"/>
    </row>
    <row r="1047" spans="1:13" x14ac:dyDescent="0.2">
      <c r="A1047" s="2" t="s">
        <v>882</v>
      </c>
      <c r="B1047" s="2" t="s">
        <v>883</v>
      </c>
      <c r="C1047" s="2" t="s">
        <v>884</v>
      </c>
      <c r="F1047" s="6">
        <v>1864.93</v>
      </c>
      <c r="H1047" s="6">
        <v>1864.93</v>
      </c>
      <c r="I1047" s="8">
        <v>45134</v>
      </c>
      <c r="J1047" s="10">
        <v>32</v>
      </c>
      <c r="K1047" s="2" t="s">
        <v>16</v>
      </c>
      <c r="L1047" s="2" t="s">
        <v>17</v>
      </c>
      <c r="M1047" s="2" t="s">
        <v>70</v>
      </c>
    </row>
    <row r="1048" spans="1:13" customFormat="1" ht="15" x14ac:dyDescent="0.25">
      <c r="D1048" s="14"/>
      <c r="E1048" s="14"/>
      <c r="F1048" s="14"/>
      <c r="G1048" s="14"/>
      <c r="H1048" s="14"/>
    </row>
    <row r="1049" spans="1:13" s="4" customFormat="1" x14ac:dyDescent="0.2">
      <c r="A1049" s="3" t="s">
        <v>882</v>
      </c>
      <c r="B1049" s="3" t="s">
        <v>883</v>
      </c>
      <c r="C1049" s="3" t="s">
        <v>16</v>
      </c>
      <c r="D1049" s="5">
        <f>SUBTOTAL(9, D1047:D1048)</f>
        <v>0</v>
      </c>
      <c r="E1049" s="5">
        <f>SUBTOTAL(9, E1047:E1048)</f>
        <v>0</v>
      </c>
      <c r="F1049" s="5">
        <f>SUBTOTAL(9, F1047:F1048)</f>
        <v>1864.93</v>
      </c>
      <c r="G1049" s="5">
        <f>SUBTOTAL(9, G1047:G1048)</f>
        <v>0</v>
      </c>
      <c r="H1049" s="5">
        <f>SUBTOTAL(9, H1047:H1048)</f>
        <v>1864.93</v>
      </c>
      <c r="I1049" s="7"/>
      <c r="J1049" s="9"/>
      <c r="K1049" s="3" t="s">
        <v>16</v>
      </c>
      <c r="L1049" s="3" t="s">
        <v>16</v>
      </c>
      <c r="M1049" s="3" t="s">
        <v>70</v>
      </c>
    </row>
    <row r="1050" spans="1:13" customFormat="1" ht="15" x14ac:dyDescent="0.25">
      <c r="D1050" s="14"/>
      <c r="E1050" s="14"/>
      <c r="F1050" s="14"/>
      <c r="G1050" s="14"/>
      <c r="H1050" s="14"/>
    </row>
    <row r="1051" spans="1:13" x14ac:dyDescent="0.2">
      <c r="A1051" s="2" t="s">
        <v>885</v>
      </c>
      <c r="B1051" s="2" t="s">
        <v>886</v>
      </c>
      <c r="C1051" s="2" t="s">
        <v>887</v>
      </c>
      <c r="D1051" s="6">
        <v>193.82</v>
      </c>
      <c r="H1051" s="6">
        <v>193.82</v>
      </c>
      <c r="I1051" s="8">
        <v>45155</v>
      </c>
      <c r="J1051" s="10">
        <v>11</v>
      </c>
      <c r="K1051" s="2" t="s">
        <v>16</v>
      </c>
      <c r="L1051" s="2" t="s">
        <v>36</v>
      </c>
      <c r="M1051" s="2" t="s">
        <v>41</v>
      </c>
    </row>
    <row r="1052" spans="1:13" customFormat="1" ht="15" x14ac:dyDescent="0.25">
      <c r="D1052" s="14"/>
      <c r="E1052" s="14"/>
      <c r="F1052" s="14"/>
      <c r="G1052" s="14"/>
      <c r="H1052" s="14"/>
    </row>
    <row r="1053" spans="1:13" s="4" customFormat="1" x14ac:dyDescent="0.2">
      <c r="A1053" s="3" t="s">
        <v>885</v>
      </c>
      <c r="B1053" s="3" t="s">
        <v>886</v>
      </c>
      <c r="C1053" s="3" t="s">
        <v>16</v>
      </c>
      <c r="D1053" s="5">
        <f>SUBTOTAL(9, D1051:D1052)</f>
        <v>193.82</v>
      </c>
      <c r="E1053" s="5">
        <f>SUBTOTAL(9, E1051:E1052)</f>
        <v>0</v>
      </c>
      <c r="F1053" s="5">
        <f>SUBTOTAL(9, F1051:F1052)</f>
        <v>0</v>
      </c>
      <c r="G1053" s="5">
        <f>SUBTOTAL(9, G1051:G1052)</f>
        <v>0</v>
      </c>
      <c r="H1053" s="5">
        <f>SUBTOTAL(9, H1051:H1052)</f>
        <v>193.82</v>
      </c>
      <c r="I1053" s="7"/>
      <c r="J1053" s="9"/>
      <c r="K1053" s="3" t="s">
        <v>16</v>
      </c>
      <c r="L1053" s="3" t="s">
        <v>16</v>
      </c>
      <c r="M1053" s="3" t="s">
        <v>41</v>
      </c>
    </row>
    <row r="1054" spans="1:13" customFormat="1" ht="15" x14ac:dyDescent="0.25">
      <c r="D1054" s="14"/>
      <c r="E1054" s="14"/>
      <c r="F1054" s="14"/>
      <c r="G1054" s="14"/>
      <c r="H1054" s="14"/>
    </row>
    <row r="1055" spans="1:13" x14ac:dyDescent="0.2">
      <c r="A1055" s="2" t="s">
        <v>888</v>
      </c>
      <c r="B1055" s="2" t="s">
        <v>889</v>
      </c>
      <c r="C1055" s="2" t="s">
        <v>890</v>
      </c>
      <c r="D1055" s="6">
        <v>3157.66</v>
      </c>
      <c r="H1055" s="6">
        <v>3157.66</v>
      </c>
      <c r="I1055" s="8">
        <v>45161</v>
      </c>
      <c r="J1055" s="10">
        <v>5</v>
      </c>
      <c r="K1055" s="2" t="s">
        <v>16</v>
      </c>
      <c r="L1055" s="2" t="s">
        <v>36</v>
      </c>
      <c r="M1055" s="2" t="s">
        <v>59</v>
      </c>
    </row>
    <row r="1056" spans="1:13" customFormat="1" ht="15" x14ac:dyDescent="0.25">
      <c r="D1056" s="14"/>
      <c r="E1056" s="14"/>
      <c r="F1056" s="14"/>
      <c r="G1056" s="14"/>
      <c r="H1056" s="14"/>
    </row>
    <row r="1057" spans="1:13" s="4" customFormat="1" x14ac:dyDescent="0.2">
      <c r="A1057" s="3" t="s">
        <v>888</v>
      </c>
      <c r="B1057" s="3" t="s">
        <v>889</v>
      </c>
      <c r="C1057" s="3" t="s">
        <v>16</v>
      </c>
      <c r="D1057" s="5">
        <f>SUBTOTAL(9, D1055:D1056)</f>
        <v>3157.66</v>
      </c>
      <c r="E1057" s="5">
        <f>SUBTOTAL(9, E1055:E1056)</f>
        <v>0</v>
      </c>
      <c r="F1057" s="5">
        <f>SUBTOTAL(9, F1055:F1056)</f>
        <v>0</v>
      </c>
      <c r="G1057" s="5">
        <f>SUBTOTAL(9, G1055:G1056)</f>
        <v>0</v>
      </c>
      <c r="H1057" s="5">
        <f>SUBTOTAL(9, H1055:H1056)</f>
        <v>3157.66</v>
      </c>
      <c r="I1057" s="7"/>
      <c r="J1057" s="9"/>
      <c r="K1057" s="3" t="s">
        <v>16</v>
      </c>
      <c r="L1057" s="3" t="s">
        <v>16</v>
      </c>
      <c r="M1057" s="3" t="s">
        <v>59</v>
      </c>
    </row>
    <row r="1058" spans="1:13" customFormat="1" ht="15" x14ac:dyDescent="0.25">
      <c r="D1058" s="14"/>
      <c r="E1058" s="14"/>
      <c r="F1058" s="14"/>
      <c r="G1058" s="14"/>
      <c r="H1058" s="14"/>
    </row>
    <row r="1059" spans="1:13" x14ac:dyDescent="0.2">
      <c r="A1059" s="2" t="s">
        <v>891</v>
      </c>
      <c r="B1059" s="2" t="s">
        <v>892</v>
      </c>
      <c r="C1059" s="2" t="s">
        <v>893</v>
      </c>
      <c r="D1059" s="6">
        <v>37.43</v>
      </c>
      <c r="H1059" s="6">
        <v>37.43</v>
      </c>
      <c r="I1059" s="8">
        <v>45159</v>
      </c>
      <c r="J1059" s="10">
        <v>7</v>
      </c>
      <c r="K1059" s="2" t="s">
        <v>16</v>
      </c>
      <c r="L1059" s="2" t="s">
        <v>36</v>
      </c>
      <c r="M1059" s="2" t="s">
        <v>186</v>
      </c>
    </row>
    <row r="1060" spans="1:13" customFormat="1" ht="15" x14ac:dyDescent="0.25">
      <c r="D1060" s="14"/>
      <c r="E1060" s="14"/>
      <c r="F1060" s="14"/>
      <c r="G1060" s="14"/>
      <c r="H1060" s="14"/>
    </row>
    <row r="1061" spans="1:13" s="4" customFormat="1" x14ac:dyDescent="0.2">
      <c r="A1061" s="3" t="s">
        <v>891</v>
      </c>
      <c r="B1061" s="3" t="s">
        <v>892</v>
      </c>
      <c r="C1061" s="3" t="s">
        <v>16</v>
      </c>
      <c r="D1061" s="5">
        <f>SUBTOTAL(9, D1059:D1060)</f>
        <v>37.43</v>
      </c>
      <c r="E1061" s="5">
        <f>SUBTOTAL(9, E1059:E1060)</f>
        <v>0</v>
      </c>
      <c r="F1061" s="5">
        <f>SUBTOTAL(9, F1059:F1060)</f>
        <v>0</v>
      </c>
      <c r="G1061" s="5">
        <f>SUBTOTAL(9, G1059:G1060)</f>
        <v>0</v>
      </c>
      <c r="H1061" s="5">
        <f>SUBTOTAL(9, H1059:H1060)</f>
        <v>37.43</v>
      </c>
      <c r="I1061" s="7"/>
      <c r="J1061" s="9"/>
      <c r="K1061" s="3" t="s">
        <v>16</v>
      </c>
      <c r="L1061" s="3" t="s">
        <v>16</v>
      </c>
      <c r="M1061" s="3" t="s">
        <v>186</v>
      </c>
    </row>
    <row r="1062" spans="1:13" customFormat="1" ht="15" x14ac:dyDescent="0.25">
      <c r="D1062" s="14"/>
      <c r="E1062" s="14"/>
      <c r="F1062" s="14"/>
      <c r="G1062" s="14"/>
      <c r="H1062" s="14"/>
    </row>
    <row r="1063" spans="1:13" x14ac:dyDescent="0.2">
      <c r="A1063" s="2" t="s">
        <v>894</v>
      </c>
      <c r="B1063" s="2" t="s">
        <v>895</v>
      </c>
      <c r="C1063" s="2" t="s">
        <v>896</v>
      </c>
      <c r="G1063" s="6">
        <v>882.07</v>
      </c>
      <c r="H1063" s="6">
        <v>882.07</v>
      </c>
      <c r="I1063" s="8">
        <v>45085</v>
      </c>
      <c r="J1063" s="10">
        <v>81</v>
      </c>
      <c r="K1063" s="2" t="s">
        <v>16</v>
      </c>
      <c r="L1063" s="2" t="s">
        <v>17</v>
      </c>
      <c r="M1063" s="2" t="s">
        <v>70</v>
      </c>
    </row>
    <row r="1064" spans="1:13" customFormat="1" ht="15" x14ac:dyDescent="0.25">
      <c r="D1064" s="14"/>
      <c r="E1064" s="14"/>
      <c r="F1064" s="14"/>
      <c r="G1064" s="14"/>
      <c r="H1064" s="14"/>
    </row>
    <row r="1065" spans="1:13" s="4" customFormat="1" x14ac:dyDescent="0.2">
      <c r="A1065" s="3" t="s">
        <v>894</v>
      </c>
      <c r="B1065" s="3" t="s">
        <v>895</v>
      </c>
      <c r="C1065" s="3" t="s">
        <v>16</v>
      </c>
      <c r="D1065" s="5">
        <f>SUBTOTAL(9, D1063:D1064)</f>
        <v>0</v>
      </c>
      <c r="E1065" s="5">
        <f>SUBTOTAL(9, E1063:E1064)</f>
        <v>0</v>
      </c>
      <c r="F1065" s="5">
        <f>SUBTOTAL(9, F1063:F1064)</f>
        <v>0</v>
      </c>
      <c r="G1065" s="5">
        <f>SUBTOTAL(9, G1063:G1064)</f>
        <v>882.07</v>
      </c>
      <c r="H1065" s="5">
        <f>SUBTOTAL(9, H1063:H1064)</f>
        <v>882.07</v>
      </c>
      <c r="I1065" s="7"/>
      <c r="J1065" s="9"/>
      <c r="K1065" s="3" t="s">
        <v>16</v>
      </c>
      <c r="L1065" s="3" t="s">
        <v>16</v>
      </c>
      <c r="M1065" s="3" t="s">
        <v>70</v>
      </c>
    </row>
    <row r="1066" spans="1:13" customFormat="1" ht="15" x14ac:dyDescent="0.25">
      <c r="D1066" s="14"/>
      <c r="E1066" s="14"/>
      <c r="F1066" s="14"/>
      <c r="G1066" s="14"/>
      <c r="H1066" s="14"/>
    </row>
    <row r="1067" spans="1:13" x14ac:dyDescent="0.2">
      <c r="A1067" s="2" t="s">
        <v>897</v>
      </c>
      <c r="B1067" s="2" t="s">
        <v>898</v>
      </c>
      <c r="C1067" s="2" t="s">
        <v>899</v>
      </c>
      <c r="D1067" s="6">
        <v>434.99</v>
      </c>
      <c r="H1067" s="6">
        <v>434.99</v>
      </c>
      <c r="I1067" s="8">
        <v>45155</v>
      </c>
      <c r="J1067" s="10">
        <v>11</v>
      </c>
      <c r="K1067" s="2" t="s">
        <v>16</v>
      </c>
      <c r="L1067" s="2" t="s">
        <v>36</v>
      </c>
      <c r="M1067" s="2" t="s">
        <v>63</v>
      </c>
    </row>
    <row r="1068" spans="1:13" customFormat="1" ht="15" x14ac:dyDescent="0.25">
      <c r="D1068" s="14"/>
      <c r="E1068" s="14"/>
      <c r="F1068" s="14"/>
      <c r="G1068" s="14"/>
      <c r="H1068" s="14"/>
    </row>
    <row r="1069" spans="1:13" s="4" customFormat="1" x14ac:dyDescent="0.2">
      <c r="A1069" s="3" t="s">
        <v>897</v>
      </c>
      <c r="B1069" s="3" t="s">
        <v>898</v>
      </c>
      <c r="C1069" s="3" t="s">
        <v>16</v>
      </c>
      <c r="D1069" s="5">
        <f>SUBTOTAL(9, D1067:D1068)</f>
        <v>434.99</v>
      </c>
      <c r="E1069" s="5">
        <f>SUBTOTAL(9, E1067:E1068)</f>
        <v>0</v>
      </c>
      <c r="F1069" s="5">
        <f>SUBTOTAL(9, F1067:F1068)</f>
        <v>0</v>
      </c>
      <c r="G1069" s="5">
        <f>SUBTOTAL(9, G1067:G1068)</f>
        <v>0</v>
      </c>
      <c r="H1069" s="5">
        <f>SUBTOTAL(9, H1067:H1068)</f>
        <v>434.99</v>
      </c>
      <c r="I1069" s="7"/>
      <c r="J1069" s="9"/>
      <c r="K1069" s="3" t="s">
        <v>16</v>
      </c>
      <c r="L1069" s="3" t="s">
        <v>16</v>
      </c>
      <c r="M1069" s="3" t="s">
        <v>63</v>
      </c>
    </row>
    <row r="1070" spans="1:13" customFormat="1" ht="15" x14ac:dyDescent="0.25">
      <c r="D1070" s="14"/>
      <c r="E1070" s="14"/>
      <c r="F1070" s="14"/>
      <c r="G1070" s="14"/>
      <c r="H1070" s="14"/>
    </row>
    <row r="1071" spans="1:13" x14ac:dyDescent="0.2">
      <c r="A1071" s="2" t="s">
        <v>900</v>
      </c>
      <c r="B1071" s="2" t="s">
        <v>901</v>
      </c>
      <c r="C1071" s="2" t="s">
        <v>902</v>
      </c>
      <c r="F1071" s="6">
        <v>288.02</v>
      </c>
      <c r="H1071" s="6">
        <v>288.02</v>
      </c>
      <c r="I1071" s="8">
        <v>45127</v>
      </c>
      <c r="J1071" s="10">
        <v>39</v>
      </c>
      <c r="K1071" s="2" t="s">
        <v>16</v>
      </c>
      <c r="L1071" s="2" t="s">
        <v>36</v>
      </c>
      <c r="M1071" s="2" t="s">
        <v>32</v>
      </c>
    </row>
    <row r="1072" spans="1:13" customFormat="1" ht="15" x14ac:dyDescent="0.25">
      <c r="D1072" s="14"/>
      <c r="E1072" s="14"/>
      <c r="F1072" s="14"/>
      <c r="G1072" s="14"/>
      <c r="H1072" s="14"/>
    </row>
    <row r="1073" spans="1:13" s="4" customFormat="1" x14ac:dyDescent="0.2">
      <c r="A1073" s="3" t="s">
        <v>900</v>
      </c>
      <c r="B1073" s="3" t="s">
        <v>901</v>
      </c>
      <c r="C1073" s="3" t="s">
        <v>16</v>
      </c>
      <c r="D1073" s="5">
        <f>SUBTOTAL(9, D1071:D1072)</f>
        <v>0</v>
      </c>
      <c r="E1073" s="5">
        <f>SUBTOTAL(9, E1071:E1072)</f>
        <v>0</v>
      </c>
      <c r="F1073" s="5">
        <f>SUBTOTAL(9, F1071:F1072)</f>
        <v>288.02</v>
      </c>
      <c r="G1073" s="5">
        <f>SUBTOTAL(9, G1071:G1072)</f>
        <v>0</v>
      </c>
      <c r="H1073" s="5">
        <f>SUBTOTAL(9, H1071:H1072)</f>
        <v>288.02</v>
      </c>
      <c r="I1073" s="7"/>
      <c r="J1073" s="9"/>
      <c r="K1073" s="3" t="s">
        <v>16</v>
      </c>
      <c r="L1073" s="3" t="s">
        <v>16</v>
      </c>
      <c r="M1073" s="3" t="s">
        <v>32</v>
      </c>
    </row>
    <row r="1074" spans="1:13" customFormat="1" ht="15" x14ac:dyDescent="0.25">
      <c r="D1074" s="14"/>
      <c r="E1074" s="14"/>
      <c r="F1074" s="14"/>
      <c r="G1074" s="14"/>
      <c r="H1074" s="14"/>
    </row>
    <row r="1075" spans="1:13" x14ac:dyDescent="0.2">
      <c r="A1075" s="2" t="s">
        <v>903</v>
      </c>
      <c r="B1075" s="2" t="s">
        <v>904</v>
      </c>
      <c r="C1075" s="2" t="s">
        <v>905</v>
      </c>
      <c r="D1075" s="6">
        <v>2584.06</v>
      </c>
      <c r="H1075" s="6">
        <v>2584.06</v>
      </c>
      <c r="I1075" s="8">
        <v>45166</v>
      </c>
      <c r="K1075" s="2" t="s">
        <v>16</v>
      </c>
      <c r="L1075" s="2" t="s">
        <v>36</v>
      </c>
      <c r="M1075" s="2" t="s">
        <v>63</v>
      </c>
    </row>
    <row r="1076" spans="1:13" customFormat="1" ht="15" x14ac:dyDescent="0.25">
      <c r="D1076" s="14"/>
      <c r="E1076" s="14"/>
      <c r="F1076" s="14"/>
      <c r="G1076" s="14"/>
      <c r="H1076" s="14"/>
    </row>
    <row r="1077" spans="1:13" s="4" customFormat="1" x14ac:dyDescent="0.2">
      <c r="A1077" s="3" t="s">
        <v>903</v>
      </c>
      <c r="B1077" s="3" t="s">
        <v>904</v>
      </c>
      <c r="C1077" s="3" t="s">
        <v>16</v>
      </c>
      <c r="D1077" s="5">
        <f>SUBTOTAL(9, D1075:D1076)</f>
        <v>2584.06</v>
      </c>
      <c r="E1077" s="5">
        <f>SUBTOTAL(9, E1075:E1076)</f>
        <v>0</v>
      </c>
      <c r="F1077" s="5">
        <f>SUBTOTAL(9, F1075:F1076)</f>
        <v>0</v>
      </c>
      <c r="G1077" s="5">
        <f>SUBTOTAL(9, G1075:G1076)</f>
        <v>0</v>
      </c>
      <c r="H1077" s="5">
        <f>SUBTOTAL(9, H1075:H1076)</f>
        <v>2584.06</v>
      </c>
      <c r="I1077" s="7"/>
      <c r="J1077" s="9"/>
      <c r="K1077" s="3" t="s">
        <v>16</v>
      </c>
      <c r="L1077" s="3" t="s">
        <v>16</v>
      </c>
      <c r="M1077" s="3" t="s">
        <v>63</v>
      </c>
    </row>
    <row r="1078" spans="1:13" customFormat="1" ht="15" x14ac:dyDescent="0.25">
      <c r="D1078" s="14"/>
      <c r="E1078" s="14"/>
      <c r="F1078" s="14"/>
      <c r="G1078" s="14"/>
      <c r="H1078" s="14"/>
    </row>
    <row r="1079" spans="1:13" x14ac:dyDescent="0.2">
      <c r="A1079" s="2" t="s">
        <v>906</v>
      </c>
      <c r="B1079" s="2" t="s">
        <v>907</v>
      </c>
      <c r="C1079" s="2" t="s">
        <v>908</v>
      </c>
      <c r="E1079" s="6">
        <v>66.64</v>
      </c>
      <c r="H1079" s="6">
        <v>66.64</v>
      </c>
      <c r="I1079" s="8">
        <v>45138</v>
      </c>
      <c r="J1079" s="10">
        <v>28</v>
      </c>
      <c r="K1079" s="2" t="s">
        <v>16</v>
      </c>
      <c r="L1079" s="2" t="s">
        <v>25</v>
      </c>
      <c r="M1079" s="2" t="s">
        <v>63</v>
      </c>
    </row>
    <row r="1080" spans="1:13" x14ac:dyDescent="0.2">
      <c r="A1080" s="2" t="s">
        <v>906</v>
      </c>
      <c r="B1080" s="2" t="s">
        <v>907</v>
      </c>
      <c r="C1080" s="2" t="s">
        <v>909</v>
      </c>
      <c r="D1080" s="6">
        <v>399.84</v>
      </c>
      <c r="H1080" s="6">
        <v>399.84</v>
      </c>
      <c r="I1080" s="8">
        <v>45152</v>
      </c>
      <c r="J1080" s="10">
        <v>14</v>
      </c>
      <c r="K1080" s="2" t="s">
        <v>16</v>
      </c>
      <c r="L1080" s="2" t="s">
        <v>25</v>
      </c>
      <c r="M1080" s="2" t="s">
        <v>63</v>
      </c>
    </row>
    <row r="1081" spans="1:13" x14ac:dyDescent="0.2">
      <c r="A1081" s="2" t="s">
        <v>906</v>
      </c>
      <c r="B1081" s="2" t="s">
        <v>907</v>
      </c>
      <c r="C1081" s="2" t="s">
        <v>910</v>
      </c>
      <c r="D1081" s="6">
        <v>466.48</v>
      </c>
      <c r="H1081" s="6">
        <v>466.48</v>
      </c>
      <c r="I1081" s="8">
        <v>45166</v>
      </c>
      <c r="K1081" s="2" t="s">
        <v>16</v>
      </c>
      <c r="L1081" s="2" t="s">
        <v>25</v>
      </c>
      <c r="M1081" s="2" t="s">
        <v>63</v>
      </c>
    </row>
    <row r="1082" spans="1:13" customFormat="1" ht="15" x14ac:dyDescent="0.25">
      <c r="D1082" s="14"/>
      <c r="E1082" s="14"/>
      <c r="F1082" s="14"/>
      <c r="G1082" s="14"/>
      <c r="H1082" s="14"/>
    </row>
    <row r="1083" spans="1:13" s="4" customFormat="1" x14ac:dyDescent="0.2">
      <c r="A1083" s="3" t="s">
        <v>906</v>
      </c>
      <c r="B1083" s="3" t="s">
        <v>907</v>
      </c>
      <c r="C1083" s="3" t="s">
        <v>16</v>
      </c>
      <c r="D1083" s="5">
        <f>SUBTOTAL(9, D1079:D1082)</f>
        <v>866.31999999999994</v>
      </c>
      <c r="E1083" s="5">
        <f>SUBTOTAL(9, E1079:E1082)</f>
        <v>66.64</v>
      </c>
      <c r="F1083" s="5">
        <f>SUBTOTAL(9, F1079:F1082)</f>
        <v>0</v>
      </c>
      <c r="G1083" s="5">
        <f>SUBTOTAL(9, G1079:G1082)</f>
        <v>0</v>
      </c>
      <c r="H1083" s="5">
        <f>SUBTOTAL(9, H1079:H1082)</f>
        <v>932.96</v>
      </c>
      <c r="I1083" s="7"/>
      <c r="J1083" s="9"/>
      <c r="K1083" s="3" t="s">
        <v>16</v>
      </c>
      <c r="L1083" s="3" t="s">
        <v>16</v>
      </c>
      <c r="M1083" s="3" t="s">
        <v>63</v>
      </c>
    </row>
    <row r="1084" spans="1:13" customFormat="1" ht="15" x14ac:dyDescent="0.25">
      <c r="D1084" s="14"/>
      <c r="E1084" s="14"/>
      <c r="F1084" s="14"/>
      <c r="G1084" s="14"/>
      <c r="H1084" s="14"/>
    </row>
    <row r="1085" spans="1:13" s="4" customFormat="1" ht="12.75" thickBot="1" x14ac:dyDescent="0.25">
      <c r="A1085" s="3" t="s">
        <v>911</v>
      </c>
      <c r="B1085" s="3" t="s">
        <v>16</v>
      </c>
      <c r="C1085" s="3" t="s">
        <v>16</v>
      </c>
      <c r="D1085" s="5">
        <f>SUBTOTAL(9, D2:D1084)</f>
        <v>388785.60999999987</v>
      </c>
      <c r="E1085" s="5">
        <f>SUBTOTAL(9, E2:E1084)</f>
        <v>145097.60000000009</v>
      </c>
      <c r="F1085" s="5">
        <f>SUBTOTAL(9, F2:F1084)</f>
        <v>73994.34</v>
      </c>
      <c r="G1085" s="5">
        <f>SUBTOTAL(9, G2:G1084)</f>
        <v>104933.83000000005</v>
      </c>
      <c r="H1085" s="5">
        <f>SUBTOTAL(9, H2:H1084)</f>
        <v>712811.37999999919</v>
      </c>
      <c r="I1085" s="7"/>
      <c r="J1085" s="9"/>
      <c r="K1085" s="3" t="s">
        <v>16</v>
      </c>
      <c r="L1085" s="3" t="s">
        <v>16</v>
      </c>
      <c r="M1085" s="3" t="s">
        <v>16</v>
      </c>
    </row>
    <row r="1086" spans="1:13" customFormat="1" ht="16.5" thickTop="1" thickBot="1" x14ac:dyDescent="0.3">
      <c r="A1086" s="15"/>
      <c r="B1086" s="15"/>
      <c r="C1086" s="15"/>
      <c r="D1086" s="16"/>
      <c r="E1086" s="16"/>
      <c r="F1086" s="16"/>
      <c r="G1086" s="16"/>
      <c r="H1086" s="16"/>
      <c r="I1086" s="15"/>
      <c r="J1086" s="15"/>
      <c r="K1086" s="15"/>
      <c r="L1086" s="15"/>
      <c r="M1086" s="15"/>
    </row>
  </sheetData>
  <pageMargins left="0.7" right="0.7" top="1.25" bottom="0.65277777777777779" header="0.3" footer="0.3"/>
  <pageSetup orientation="landscape" horizontalDpi="360" verticalDpi="360" r:id="rId1"/>
  <headerFooter>
    <oddHeader xml:space="preserve">&amp;C&amp;"Arial"&amp;12&amp;E HISPANAMUR 2017 SA&amp;E
&amp;11&amp;E Aged Receivables&amp;E
&amp;E As of Aug 28, 2023&amp;E&amp;L&amp;"Arial"&amp;12
&amp;11
&amp;"Arial"&amp;8 Filter Criteria includes: 1) Includes Drop Shipments. Report order is by Name. Report is printed in Detail Format. </oddHeader>
    <oddFooter>&amp;L&amp;08&amp;"MS San Serif"&amp;R&amp;08&amp;"MS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Cuentas por Cobrar General</vt:lpstr>
      <vt:lpstr>'Cuentas por Cobrar General'!Títulos_a_imprimir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Vinueza</dc:creator>
  <cp:lastModifiedBy>Dario Vinueza</cp:lastModifiedBy>
  <dcterms:created xsi:type="dcterms:W3CDTF">2023-08-28T21:36:33Z</dcterms:created>
  <dcterms:modified xsi:type="dcterms:W3CDTF">2023-09-03T04:48:19Z</dcterms:modified>
</cp:coreProperties>
</file>