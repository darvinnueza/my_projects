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PERACIONES\Desktop\"/>
    </mc:Choice>
  </mc:AlternateContent>
  <xr:revisionPtr revIDLastSave="0" documentId="13_ncr:1_{D744E76A-E226-4865-97B8-3E1E0AD3340A}" xr6:coauthVersionLast="47" xr6:coauthVersionMax="47" xr10:uidLastSave="{00000000-0000-0000-0000-000000000000}"/>
  <bookViews>
    <workbookView xWindow="-120" yWindow="-120" windowWidth="29040" windowHeight="15720" activeTab="1" xr2:uid="{217FB530-4FD5-4EB7-B588-1A7DA41933F7}"/>
  </bookViews>
  <sheets>
    <sheet name="horno" sheetId="4" r:id="rId1"/>
    <sheet name="ANALISIS PROD" sheetId="1" r:id="rId2"/>
    <sheet name="ENVIAR" sheetId="6" r:id="rId3"/>
    <sheet name="INVENTARIO ACTUAL" sheetId="3" r:id="rId4"/>
    <sheet name="TIRAS X H" sheetId="5" r:id="rId5"/>
    <sheet name="Hoja1" sheetId="7" r:id="rId6"/>
  </sheets>
  <definedNames>
    <definedName name="_xlnm._FilterDatabase" localSheetId="1" hidden="1">'ANALISIS PROD'!$A$1:$AI$50</definedName>
    <definedName name="_xlnm._FilterDatabase" localSheetId="2" hidden="1">ENVIAR!$A$1:$F$48</definedName>
    <definedName name="_xlnm._FilterDatabase" localSheetId="5" hidden="1">Hoja1!$A$1:$K$37</definedName>
    <definedName name="_xlnm._FilterDatabase" localSheetId="3" hidden="1">'INVENTARIO ACTUAL'!$F$1:$F$43</definedName>
    <definedName name="_xlnm.Print_Area" localSheetId="1">'ANALISIS PROD'!$A$1:$Z$47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9" i="1" l="1"/>
  <c r="U42" i="1"/>
  <c r="U41" i="1"/>
  <c r="U40" i="1"/>
  <c r="U39" i="1"/>
  <c r="U38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1" i="1"/>
  <c r="U20" i="1"/>
  <c r="U19" i="1"/>
  <c r="U18" i="1"/>
  <c r="U17" i="1"/>
  <c r="U16" i="1"/>
  <c r="U15" i="1"/>
  <c r="U14" i="1"/>
  <c r="U13" i="1"/>
  <c r="U12" i="1"/>
  <c r="U11" i="1"/>
  <c r="U10" i="1"/>
  <c r="U8" i="1"/>
  <c r="U7" i="1"/>
  <c r="U6" i="1"/>
  <c r="U5" i="1"/>
  <c r="U4" i="1"/>
  <c r="U3" i="1"/>
  <c r="U2" i="1"/>
  <c r="S35" i="1"/>
  <c r="S34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8" i="1"/>
  <c r="S7" i="1"/>
  <c r="S6" i="1"/>
  <c r="S5" i="1"/>
  <c r="S4" i="1"/>
  <c r="S3" i="1"/>
  <c r="S2" i="1"/>
  <c r="S42" i="1"/>
  <c r="S41" i="1"/>
  <c r="S40" i="1"/>
  <c r="S39" i="1"/>
  <c r="S38" i="1"/>
  <c r="R44" i="1"/>
  <c r="R36" i="1"/>
  <c r="R46" i="1" l="1"/>
  <c r="Q36" i="1" l="1"/>
  <c r="Q44" i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2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" i="7"/>
  <c r="P44" i="1"/>
  <c r="P36" i="1"/>
  <c r="Q46" i="1" l="1"/>
  <c r="P46" i="1"/>
  <c r="W12" i="1"/>
  <c r="W15" i="1"/>
  <c r="W35" i="1"/>
  <c r="W17" i="1"/>
  <c r="W42" i="1"/>
  <c r="W40" i="1"/>
  <c r="W39" i="1"/>
  <c r="W38" i="1"/>
  <c r="W33" i="1"/>
  <c r="W21" i="1"/>
  <c r="W20" i="1"/>
  <c r="W19" i="1"/>
  <c r="W18" i="1"/>
  <c r="W31" i="1"/>
  <c r="W14" i="1"/>
  <c r="W13" i="1"/>
  <c r="W16" i="1"/>
  <c r="W30" i="1"/>
  <c r="W29" i="1"/>
  <c r="W11" i="1"/>
  <c r="W10" i="1"/>
  <c r="W8" i="1"/>
  <c r="W28" i="1"/>
  <c r="W27" i="1"/>
  <c r="W7" i="1"/>
  <c r="W6" i="1"/>
  <c r="W26" i="1"/>
  <c r="W25" i="1"/>
  <c r="W5" i="1"/>
  <c r="W4" i="1"/>
  <c r="W24" i="1"/>
  <c r="W23" i="1"/>
  <c r="W3" i="1"/>
  <c r="W2" i="1"/>
  <c r="W34" i="1"/>
  <c r="W41" i="1"/>
  <c r="W32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2" i="3"/>
  <c r="B15" i="4"/>
  <c r="B13" i="4"/>
  <c r="S44" i="1"/>
  <c r="S36" i="1"/>
  <c r="O36" i="1"/>
  <c r="O44" i="1"/>
  <c r="D8" i="5"/>
  <c r="B8" i="5"/>
  <c r="D11" i="5"/>
  <c r="D10" i="5"/>
  <c r="B10" i="5"/>
  <c r="B9" i="5"/>
  <c r="D9" i="5"/>
  <c r="D7" i="5"/>
  <c r="V56" i="1"/>
  <c r="C54" i="1" s="1"/>
  <c r="C57" i="1" s="1"/>
  <c r="D5" i="5"/>
  <c r="D6" i="5"/>
  <c r="B6" i="5"/>
  <c r="B7" i="5"/>
  <c r="B5" i="5"/>
  <c r="B11" i="5"/>
  <c r="E11" i="5"/>
  <c r="N44" i="1"/>
  <c r="M44" i="1"/>
  <c r="N36" i="1"/>
  <c r="N46" i="1" s="1"/>
  <c r="M36" i="1"/>
  <c r="M46" i="1" s="1"/>
  <c r="L44" i="1"/>
  <c r="K44" i="1"/>
  <c r="J44" i="1"/>
  <c r="I44" i="1"/>
  <c r="H44" i="1"/>
  <c r="G44" i="1"/>
  <c r="G46" i="1" s="1"/>
  <c r="F44" i="1"/>
  <c r="E44" i="1"/>
  <c r="E46" i="1" s="1"/>
  <c r="D44" i="1"/>
  <c r="C44" i="1"/>
  <c r="C46" i="1" s="1"/>
  <c r="L36" i="1"/>
  <c r="L46" i="1" s="1"/>
  <c r="K36" i="1"/>
  <c r="J36" i="1"/>
  <c r="I36" i="1"/>
  <c r="H36" i="1"/>
  <c r="G36" i="1"/>
  <c r="F36" i="1"/>
  <c r="E36" i="1"/>
  <c r="D36" i="1"/>
  <c r="C36" i="1"/>
  <c r="C51" i="1"/>
  <c r="AC46" i="1"/>
  <c r="AE22" i="1"/>
  <c r="AG22" i="1"/>
  <c r="AI22" i="1"/>
  <c r="B7" i="4"/>
  <c r="B6" i="4"/>
  <c r="B3" i="4"/>
  <c r="B2" i="4"/>
  <c r="U44" i="1"/>
  <c r="S46" i="1" l="1"/>
  <c r="K47" i="1" s="1"/>
  <c r="K46" i="1"/>
  <c r="O46" i="1"/>
  <c r="D46" i="1"/>
  <c r="F46" i="1"/>
  <c r="H46" i="1"/>
  <c r="I46" i="1"/>
  <c r="J46" i="1"/>
  <c r="U36" i="1"/>
  <c r="U46" i="1" s="1"/>
  <c r="W44" i="1"/>
  <c r="W36" i="1"/>
  <c r="E47" i="1" l="1"/>
  <c r="L47" i="1"/>
  <c r="G47" i="1"/>
  <c r="C47" i="1"/>
  <c r="N47" i="1"/>
  <c r="P47" i="1"/>
  <c r="M47" i="1"/>
  <c r="J47" i="1"/>
  <c r="I47" i="1"/>
  <c r="H47" i="1"/>
  <c r="F47" i="1"/>
  <c r="D47" i="1"/>
  <c r="O47" i="1"/>
  <c r="Q47" i="1"/>
  <c r="R47" i="1"/>
  <c r="W46" i="1"/>
  <c r="V47" i="1" l="1"/>
  <c r="V28" i="1" s="1"/>
  <c r="V38" i="1" l="1"/>
  <c r="C41" i="6" s="1"/>
  <c r="V33" i="1"/>
  <c r="V32" i="1"/>
  <c r="AB32" i="1" s="1"/>
  <c r="V41" i="1"/>
  <c r="V21" i="1"/>
  <c r="V35" i="1"/>
  <c r="X35" i="1" s="1"/>
  <c r="V10" i="1"/>
  <c r="AB10" i="1" s="1"/>
  <c r="V31" i="1"/>
  <c r="C33" i="6" s="1"/>
  <c r="V8" i="1"/>
  <c r="C8" i="6" s="1"/>
  <c r="V12" i="1"/>
  <c r="X12" i="1" s="1"/>
  <c r="V42" i="1"/>
  <c r="C45" i="6" s="1"/>
  <c r="V29" i="1"/>
  <c r="C31" i="6" s="1"/>
  <c r="V19" i="1"/>
  <c r="X19" i="1" s="1"/>
  <c r="V3" i="1"/>
  <c r="AB3" i="1" s="1"/>
  <c r="V5" i="1"/>
  <c r="AB5" i="1" s="1"/>
  <c r="V39" i="1"/>
  <c r="AB39" i="1" s="1"/>
  <c r="V34" i="1"/>
  <c r="X34" i="1" s="1"/>
  <c r="V40" i="1"/>
  <c r="AD40" i="1" s="1"/>
  <c r="AE40" i="1" s="1"/>
  <c r="AG40" i="1" s="1"/>
  <c r="V9" i="1"/>
  <c r="AB9" i="1" s="1"/>
  <c r="V2" i="1"/>
  <c r="AB2" i="1" s="1"/>
  <c r="V16" i="1"/>
  <c r="AB16" i="1" s="1"/>
  <c r="V20" i="1"/>
  <c r="AB20" i="1" s="1"/>
  <c r="V25" i="1"/>
  <c r="AB25" i="1" s="1"/>
  <c r="V7" i="1"/>
  <c r="AB7" i="1" s="1"/>
  <c r="V26" i="1"/>
  <c r="AD26" i="1" s="1"/>
  <c r="AE26" i="1" s="1"/>
  <c r="AG26" i="1" s="1"/>
  <c r="V15" i="1"/>
  <c r="V6" i="1"/>
  <c r="X6" i="1" s="1"/>
  <c r="V13" i="1"/>
  <c r="V18" i="1"/>
  <c r="AD18" i="1" s="1"/>
  <c r="AE18" i="1" s="1"/>
  <c r="AG18" i="1" s="1"/>
  <c r="V17" i="1"/>
  <c r="C17" i="6" s="1"/>
  <c r="V23" i="1"/>
  <c r="AB23" i="1" s="1"/>
  <c r="V27" i="1"/>
  <c r="C29" i="6" s="1"/>
  <c r="V24" i="1"/>
  <c r="C26" i="6" s="1"/>
  <c r="V4" i="1"/>
  <c r="C4" i="6" s="1"/>
  <c r="V14" i="1"/>
  <c r="AD14" i="1" s="1"/>
  <c r="AE14" i="1" s="1"/>
  <c r="AG14" i="1" s="1"/>
  <c r="V30" i="1"/>
  <c r="AB30" i="1" s="1"/>
  <c r="V11" i="1"/>
  <c r="AD11" i="1" s="1"/>
  <c r="AE11" i="1" s="1"/>
  <c r="AG11" i="1" s="1"/>
  <c r="D12" i="6"/>
  <c r="D16" i="6"/>
  <c r="D35" i="6"/>
  <c r="C35" i="6"/>
  <c r="D20" i="6"/>
  <c r="D34" i="6"/>
  <c r="C34" i="6"/>
  <c r="D27" i="6"/>
  <c r="D45" i="6"/>
  <c r="D44" i="6"/>
  <c r="C44" i="6"/>
  <c r="D7" i="6"/>
  <c r="D31" i="6"/>
  <c r="D15" i="6"/>
  <c r="C15" i="6"/>
  <c r="D28" i="6"/>
  <c r="D37" i="6"/>
  <c r="C37" i="6"/>
  <c r="D19" i="6"/>
  <c r="D10" i="6"/>
  <c r="C10" i="6"/>
  <c r="D21" i="6"/>
  <c r="C21" i="6"/>
  <c r="D13" i="6"/>
  <c r="C13" i="6"/>
  <c r="D3" i="6"/>
  <c r="C3" i="6"/>
  <c r="D18" i="6"/>
  <c r="D6" i="6"/>
  <c r="D36" i="6"/>
  <c r="D5" i="6"/>
  <c r="D17" i="6"/>
  <c r="D42" i="6"/>
  <c r="D9" i="6"/>
  <c r="D33" i="6"/>
  <c r="D2" i="6"/>
  <c r="D43" i="6"/>
  <c r="D41" i="6"/>
  <c r="D25" i="6"/>
  <c r="C25" i="6"/>
  <c r="D8" i="6"/>
  <c r="D29" i="6"/>
  <c r="D26" i="6"/>
  <c r="D4" i="6"/>
  <c r="D14" i="6"/>
  <c r="D32" i="6"/>
  <c r="D11" i="6"/>
  <c r="D30" i="6"/>
  <c r="C30" i="6"/>
  <c r="AB33" i="1"/>
  <c r="AD33" i="1"/>
  <c r="AE33" i="1" s="1"/>
  <c r="AG33" i="1" s="1"/>
  <c r="X33" i="1"/>
  <c r="AD32" i="1"/>
  <c r="AE32" i="1" s="1"/>
  <c r="AG32" i="1" s="1"/>
  <c r="AB41" i="1"/>
  <c r="AD41" i="1"/>
  <c r="AE41" i="1" s="1"/>
  <c r="AG41" i="1" s="1"/>
  <c r="X41" i="1"/>
  <c r="AB15" i="1"/>
  <c r="X15" i="1"/>
  <c r="AD15" i="1"/>
  <c r="AE15" i="1" s="1"/>
  <c r="AG15" i="1" s="1"/>
  <c r="X26" i="1"/>
  <c r="AB26" i="1"/>
  <c r="AD35" i="1"/>
  <c r="AE35" i="1" s="1"/>
  <c r="AG35" i="1" s="1"/>
  <c r="AB35" i="1"/>
  <c r="AD10" i="1"/>
  <c r="AE10" i="1" s="1"/>
  <c r="AG10" i="1" s="1"/>
  <c r="X21" i="1"/>
  <c r="AB21" i="1"/>
  <c r="AD21" i="1"/>
  <c r="AE21" i="1" s="1"/>
  <c r="AG21" i="1" s="1"/>
  <c r="X13" i="1"/>
  <c r="AB13" i="1"/>
  <c r="AD13" i="1"/>
  <c r="AE13" i="1" s="1"/>
  <c r="AG13" i="1" s="1"/>
  <c r="AD6" i="1"/>
  <c r="AE6" i="1" s="1"/>
  <c r="AG6" i="1" s="1"/>
  <c r="AB6" i="1"/>
  <c r="X17" i="1"/>
  <c r="AD17" i="1"/>
  <c r="AE17" i="1" s="1"/>
  <c r="AG17" i="1" s="1"/>
  <c r="AB17" i="1"/>
  <c r="X31" i="1"/>
  <c r="AD31" i="1"/>
  <c r="AE31" i="1" s="1"/>
  <c r="AG31" i="1" s="1"/>
  <c r="AB31" i="1"/>
  <c r="AD27" i="1"/>
  <c r="AE27" i="1" s="1"/>
  <c r="AG27" i="1" s="1"/>
  <c r="X27" i="1"/>
  <c r="X28" i="1"/>
  <c r="AD28" i="1"/>
  <c r="AE28" i="1" s="1"/>
  <c r="AG28" i="1" s="1"/>
  <c r="AB28" i="1"/>
  <c r="C27" i="6" l="1"/>
  <c r="X24" i="1"/>
  <c r="AD24" i="1"/>
  <c r="AE24" i="1" s="1"/>
  <c r="AG24" i="1" s="1"/>
  <c r="AB24" i="1"/>
  <c r="AB27" i="1"/>
  <c r="X18" i="1"/>
  <c r="AB18" i="1"/>
  <c r="C18" i="6"/>
  <c r="X8" i="1"/>
  <c r="AD8" i="1"/>
  <c r="AE8" i="1" s="1"/>
  <c r="AG8" i="1" s="1"/>
  <c r="AB8" i="1"/>
  <c r="X2" i="1"/>
  <c r="E2" i="6" s="1"/>
  <c r="C11" i="6"/>
  <c r="C32" i="6"/>
  <c r="C12" i="6"/>
  <c r="AB29" i="1"/>
  <c r="AB14" i="1"/>
  <c r="X14" i="1"/>
  <c r="Y14" i="1" s="1"/>
  <c r="Z14" i="1" s="1"/>
  <c r="AI14" i="1" s="1"/>
  <c r="X4" i="1"/>
  <c r="Y4" i="1" s="1"/>
  <c r="Z4" i="1" s="1"/>
  <c r="AI4" i="1" s="1"/>
  <c r="X3" i="1"/>
  <c r="AD29" i="1"/>
  <c r="AE29" i="1" s="1"/>
  <c r="AG29" i="1" s="1"/>
  <c r="AB4" i="1"/>
  <c r="AD3" i="1"/>
  <c r="AE3" i="1" s="1"/>
  <c r="AG3" i="1" s="1"/>
  <c r="X29" i="1"/>
  <c r="Y29" i="1" s="1"/>
  <c r="Z29" i="1" s="1"/>
  <c r="AI29" i="1" s="1"/>
  <c r="C43" i="6"/>
  <c r="AD4" i="1"/>
  <c r="AE4" i="1" s="1"/>
  <c r="AG4" i="1" s="1"/>
  <c r="C19" i="6"/>
  <c r="AD23" i="1"/>
  <c r="AE23" i="1" s="1"/>
  <c r="AG23" i="1" s="1"/>
  <c r="X23" i="1"/>
  <c r="Y23" i="1" s="1"/>
  <c r="Z23" i="1" s="1"/>
  <c r="AI23" i="1" s="1"/>
  <c r="AD20" i="1"/>
  <c r="AE20" i="1" s="1"/>
  <c r="AG20" i="1" s="1"/>
  <c r="X20" i="1"/>
  <c r="Y20" i="1" s="1"/>
  <c r="Z20" i="1" s="1"/>
  <c r="AI20" i="1" s="1"/>
  <c r="V36" i="1"/>
  <c r="AD2" i="1"/>
  <c r="AE2" i="1" s="1"/>
  <c r="X10" i="1"/>
  <c r="Y10" i="1" s="1"/>
  <c r="Z10" i="1" s="1"/>
  <c r="AI10" i="1" s="1"/>
  <c r="C20" i="6"/>
  <c r="X42" i="1"/>
  <c r="Y42" i="1" s="1"/>
  <c r="Z42" i="1" s="1"/>
  <c r="AI42" i="1" s="1"/>
  <c r="C2" i="6"/>
  <c r="V44" i="1"/>
  <c r="X16" i="1"/>
  <c r="Y16" i="1" s="1"/>
  <c r="Z16" i="1" s="1"/>
  <c r="AI16" i="1" s="1"/>
  <c r="C16" i="6"/>
  <c r="AD16" i="1"/>
  <c r="AE16" i="1" s="1"/>
  <c r="AG16" i="1" s="1"/>
  <c r="X9" i="1"/>
  <c r="Y9" i="1" s="1"/>
  <c r="Z9" i="1" s="1"/>
  <c r="AI9" i="1" s="1"/>
  <c r="AD39" i="1"/>
  <c r="AE39" i="1" s="1"/>
  <c r="AG39" i="1" s="1"/>
  <c r="C14" i="6"/>
  <c r="X11" i="1"/>
  <c r="Y11" i="1" s="1"/>
  <c r="Z11" i="1" s="1"/>
  <c r="AI11" i="1" s="1"/>
  <c r="AD5" i="1"/>
  <c r="AE5" i="1" s="1"/>
  <c r="AG5" i="1" s="1"/>
  <c r="AD19" i="1"/>
  <c r="AE19" i="1" s="1"/>
  <c r="AG19" i="1" s="1"/>
  <c r="X25" i="1"/>
  <c r="Y25" i="1" s="1"/>
  <c r="Z25" i="1" s="1"/>
  <c r="AI25" i="1" s="1"/>
  <c r="AB11" i="1"/>
  <c r="C36" i="6"/>
  <c r="AD38" i="1"/>
  <c r="AE38" i="1" s="1"/>
  <c r="X5" i="1"/>
  <c r="Y5" i="1" s="1"/>
  <c r="Z5" i="1" s="1"/>
  <c r="AI5" i="1" s="1"/>
  <c r="AB19" i="1"/>
  <c r="AD25" i="1"/>
  <c r="AE25" i="1" s="1"/>
  <c r="AG25" i="1" s="1"/>
  <c r="AD7" i="1"/>
  <c r="AE7" i="1" s="1"/>
  <c r="AG7" i="1" s="1"/>
  <c r="C42" i="6"/>
  <c r="X38" i="1"/>
  <c r="E41" i="6" s="1"/>
  <c r="F41" i="6" s="1"/>
  <c r="X30" i="1"/>
  <c r="Y30" i="1" s="1"/>
  <c r="Z30" i="1" s="1"/>
  <c r="AI30" i="1" s="1"/>
  <c r="AB38" i="1"/>
  <c r="AD34" i="1"/>
  <c r="AE34" i="1" s="1"/>
  <c r="AG34" i="1" s="1"/>
  <c r="X32" i="1"/>
  <c r="Y32" i="1" s="1"/>
  <c r="Z32" i="1" s="1"/>
  <c r="AI32" i="1" s="1"/>
  <c r="C6" i="6"/>
  <c r="V51" i="1"/>
  <c r="V52" i="1" s="1"/>
  <c r="V58" i="1" s="1"/>
  <c r="V59" i="1" s="1"/>
  <c r="C9" i="6"/>
  <c r="X39" i="1"/>
  <c r="Y39" i="1" s="1"/>
  <c r="Z39" i="1" s="1"/>
  <c r="AI39" i="1" s="1"/>
  <c r="AB42" i="1"/>
  <c r="C5" i="6"/>
  <c r="C7" i="6"/>
  <c r="AD30" i="1"/>
  <c r="AE30" i="1" s="1"/>
  <c r="AG30" i="1" s="1"/>
  <c r="X40" i="1"/>
  <c r="Y40" i="1" s="1"/>
  <c r="Z40" i="1" s="1"/>
  <c r="AI40" i="1" s="1"/>
  <c r="AB34" i="1"/>
  <c r="AD9" i="1"/>
  <c r="AE9" i="1" s="1"/>
  <c r="AG9" i="1" s="1"/>
  <c r="X7" i="1"/>
  <c r="Y7" i="1" s="1"/>
  <c r="Z7" i="1" s="1"/>
  <c r="AI7" i="1" s="1"/>
  <c r="C28" i="6"/>
  <c r="AD42" i="1"/>
  <c r="AE42" i="1" s="1"/>
  <c r="AG42" i="1" s="1"/>
  <c r="AB40" i="1"/>
  <c r="D47" i="6"/>
  <c r="D23" i="6"/>
  <c r="D39" i="6"/>
  <c r="Y13" i="1"/>
  <c r="Z13" i="1" s="1"/>
  <c r="AI13" i="1" s="1"/>
  <c r="E13" i="6"/>
  <c r="F13" i="6" s="1"/>
  <c r="E14" i="6"/>
  <c r="E31" i="6"/>
  <c r="F31" i="6" s="1"/>
  <c r="Y24" i="1"/>
  <c r="Z24" i="1" s="1"/>
  <c r="AI24" i="1" s="1"/>
  <c r="E26" i="6"/>
  <c r="F26" i="6" s="1"/>
  <c r="E25" i="6"/>
  <c r="F25" i="6" s="1"/>
  <c r="E32" i="6"/>
  <c r="F32" i="6" s="1"/>
  <c r="Y26" i="1"/>
  <c r="Z26" i="1" s="1"/>
  <c r="AI26" i="1" s="1"/>
  <c r="E28" i="6"/>
  <c r="E34" i="6"/>
  <c r="F34" i="6" s="1"/>
  <c r="Y17" i="1"/>
  <c r="Z17" i="1" s="1"/>
  <c r="AI17" i="1" s="1"/>
  <c r="E17" i="6"/>
  <c r="F17" i="6" s="1"/>
  <c r="Y28" i="1"/>
  <c r="Z28" i="1" s="1"/>
  <c r="AI28" i="1" s="1"/>
  <c r="E30" i="6"/>
  <c r="F30" i="6" s="1"/>
  <c r="E45" i="6"/>
  <c r="F45" i="6" s="1"/>
  <c r="E16" i="6"/>
  <c r="E27" i="6"/>
  <c r="F27" i="6" s="1"/>
  <c r="Y12" i="1"/>
  <c r="E12" i="6"/>
  <c r="Y6" i="1"/>
  <c r="Z6" i="1" s="1"/>
  <c r="AI6" i="1" s="1"/>
  <c r="E6" i="6"/>
  <c r="Y41" i="1"/>
  <c r="Z41" i="1" s="1"/>
  <c r="AI41" i="1" s="1"/>
  <c r="E44" i="6"/>
  <c r="F44" i="6" s="1"/>
  <c r="Y19" i="1"/>
  <c r="Z19" i="1" s="1"/>
  <c r="AI19" i="1" s="1"/>
  <c r="E19" i="6"/>
  <c r="Y15" i="1"/>
  <c r="Z15" i="1" s="1"/>
  <c r="AI15" i="1" s="1"/>
  <c r="E15" i="6"/>
  <c r="F15" i="6" s="1"/>
  <c r="E20" i="6"/>
  <c r="E10" i="6"/>
  <c r="F10" i="6" s="1"/>
  <c r="Y34" i="1"/>
  <c r="Z34" i="1" s="1"/>
  <c r="AI34" i="1" s="1"/>
  <c r="E36" i="6"/>
  <c r="Y27" i="1"/>
  <c r="Z27" i="1" s="1"/>
  <c r="AI27" i="1" s="1"/>
  <c r="E29" i="6"/>
  <c r="F29" i="6" s="1"/>
  <c r="Y31" i="1"/>
  <c r="Z31" i="1" s="1"/>
  <c r="AI31" i="1" s="1"/>
  <c r="E33" i="6"/>
  <c r="F33" i="6" s="1"/>
  <c r="Y18" i="1"/>
  <c r="Z18" i="1" s="1"/>
  <c r="AI18" i="1" s="1"/>
  <c r="E18" i="6"/>
  <c r="F18" i="6" s="1"/>
  <c r="E11" i="6"/>
  <c r="F11" i="6" s="1"/>
  <c r="Y8" i="1"/>
  <c r="Z8" i="1" s="1"/>
  <c r="AI8" i="1" s="1"/>
  <c r="E8" i="6"/>
  <c r="F8" i="6" s="1"/>
  <c r="Y35" i="1"/>
  <c r="Z35" i="1" s="1"/>
  <c r="AI35" i="1" s="1"/>
  <c r="E37" i="6"/>
  <c r="F37" i="6" s="1"/>
  <c r="Y3" i="1"/>
  <c r="Z3" i="1" s="1"/>
  <c r="AI3" i="1" s="1"/>
  <c r="E3" i="6"/>
  <c r="F3" i="6" s="1"/>
  <c r="E42" i="6"/>
  <c r="E43" i="6"/>
  <c r="E4" i="6"/>
  <c r="F4" i="6" s="1"/>
  <c r="Y21" i="1"/>
  <c r="Z21" i="1" s="1"/>
  <c r="AI21" i="1" s="1"/>
  <c r="E21" i="6"/>
  <c r="F21" i="6" s="1"/>
  <c r="E5" i="6"/>
  <c r="E7" i="6"/>
  <c r="Y33" i="1"/>
  <c r="Z33" i="1" s="1"/>
  <c r="AI33" i="1" s="1"/>
  <c r="E35" i="6"/>
  <c r="F35" i="6" s="1"/>
  <c r="E9" i="6"/>
  <c r="Y2" i="1"/>
  <c r="V46" i="1" l="1"/>
  <c r="F2" i="6"/>
  <c r="F12" i="6"/>
  <c r="AB36" i="1"/>
  <c r="C39" i="6"/>
  <c r="C47" i="6"/>
  <c r="F43" i="6"/>
  <c r="F7" i="6"/>
  <c r="F20" i="6"/>
  <c r="F5" i="6"/>
  <c r="F19" i="6"/>
  <c r="F6" i="6"/>
  <c r="AB44" i="1"/>
  <c r="AB46" i="1" s="1"/>
  <c r="F14" i="6"/>
  <c r="F16" i="6"/>
  <c r="C23" i="6"/>
  <c r="F9" i="6"/>
  <c r="AD44" i="1"/>
  <c r="X36" i="1"/>
  <c r="F36" i="6"/>
  <c r="AD36" i="1"/>
  <c r="X44" i="1"/>
  <c r="F28" i="6"/>
  <c r="F42" i="6"/>
  <c r="Y38" i="1"/>
  <c r="Y44" i="1" s="1"/>
  <c r="E39" i="6"/>
  <c r="E47" i="6"/>
  <c r="E23" i="6"/>
  <c r="AE36" i="1"/>
  <c r="AG2" i="1"/>
  <c r="AG36" i="1" s="1"/>
  <c r="AG38" i="1"/>
  <c r="AG44" i="1" s="1"/>
  <c r="AE44" i="1"/>
  <c r="Z2" i="1"/>
  <c r="Y36" i="1"/>
  <c r="AD46" i="1" l="1"/>
  <c r="X46" i="1"/>
  <c r="Z38" i="1"/>
  <c r="Y46" i="1"/>
  <c r="AI2" i="1"/>
  <c r="AI36" i="1" s="1"/>
  <c r="Z36" i="1"/>
  <c r="AI38" i="1"/>
  <c r="AI44" i="1" s="1"/>
  <c r="Z44" i="1"/>
  <c r="AG46" i="1"/>
  <c r="AE46" i="1"/>
  <c r="Z46" i="1" l="1"/>
  <c r="AI46" i="1"/>
</calcChain>
</file>

<file path=xl/sharedStrings.xml><?xml version="1.0" encoding="utf-8"?>
<sst xmlns="http://schemas.openxmlformats.org/spreadsheetml/2006/main" count="533" uniqueCount="155">
  <si>
    <t>Item ID</t>
  </si>
  <si>
    <t>Item Description</t>
  </si>
  <si>
    <t>ene</t>
  </si>
  <si>
    <t>feb</t>
  </si>
  <si>
    <t>mar</t>
  </si>
  <si>
    <t>abr</t>
  </si>
  <si>
    <t>may</t>
  </si>
  <si>
    <t>jun</t>
  </si>
  <si>
    <t>jul</t>
  </si>
  <si>
    <t>ago</t>
  </si>
  <si>
    <t>PT10001</t>
  </si>
  <si>
    <t>PIPAS E SAL - PACAS 400 U T-10</t>
  </si>
  <si>
    <t>PT10002</t>
  </si>
  <si>
    <t>PIPAS E SAL - PACAS 400 U T-20</t>
  </si>
  <si>
    <t>PT10003</t>
  </si>
  <si>
    <t>PIPAS E SAL 36 U GRN 120G</t>
  </si>
  <si>
    <t>PT10004</t>
  </si>
  <si>
    <t>C PIPAS E SAL 36 U GRN 120G</t>
  </si>
  <si>
    <t>PT11001</t>
  </si>
  <si>
    <t>PIPAS E PIC - PACAS 400 U T-10</t>
  </si>
  <si>
    <t>PT11002</t>
  </si>
  <si>
    <t>PIPAS E PIC - PACAS 400 U T-20</t>
  </si>
  <si>
    <t>PT11003</t>
  </si>
  <si>
    <t>PIPAS E PIC 36 U GRN 120G</t>
  </si>
  <si>
    <t>PT11004</t>
  </si>
  <si>
    <t>C PIPAS E PIC 36 U GRN 120G</t>
  </si>
  <si>
    <t>PT12001</t>
  </si>
  <si>
    <t>PIPAS E LIM - PACAS 400 U T-10</t>
  </si>
  <si>
    <t>PT12002</t>
  </si>
  <si>
    <t>PIPAS E LIM - PACAS 400 U T-20</t>
  </si>
  <si>
    <t>PT12003</t>
  </si>
  <si>
    <t>PIPAS E LIM 36 U GRN 120G</t>
  </si>
  <si>
    <t>PT12004</t>
  </si>
  <si>
    <t>C PIPAS E LIM 36 U GRN 120G</t>
  </si>
  <si>
    <t>PT13001</t>
  </si>
  <si>
    <t>PIPAS E MAR - PACAS 400 U T-10</t>
  </si>
  <si>
    <t>PT20001</t>
  </si>
  <si>
    <t>PIPAS MGA VER-PACAS 400 T-10</t>
  </si>
  <si>
    <t>PT20002</t>
  </si>
  <si>
    <t>PIPAS MGA VER-PACAS 400 T-20</t>
  </si>
  <si>
    <t>PT20003</t>
  </si>
  <si>
    <t>PIPAS MGA VER 36 U GRN 120 G</t>
  </si>
  <si>
    <t>PT20004</t>
  </si>
  <si>
    <t>C PIPAS MGA VER 36 U GRN 120G</t>
  </si>
  <si>
    <t>PT20006</t>
  </si>
  <si>
    <t>PIPAS MGA VER PACA 400 U GRN</t>
  </si>
  <si>
    <t>PT21001</t>
  </si>
  <si>
    <t>PIPAS MGA ACID-LEM-PAC 400 T10</t>
  </si>
  <si>
    <t>PT21002</t>
  </si>
  <si>
    <t>PIPAS MGA ACID-LEM-PAC 400 T20</t>
  </si>
  <si>
    <t>PT21003</t>
  </si>
  <si>
    <t>PIPAS MGA ACID-LEM 36 U GR 120</t>
  </si>
  <si>
    <t>PT21004</t>
  </si>
  <si>
    <t>C PIPAS MGA AC-LEM 36 U 120 GR</t>
  </si>
  <si>
    <t>PT21005</t>
  </si>
  <si>
    <t>PIPAS MGA ACID-LEM PACA 400 GR</t>
  </si>
  <si>
    <t>PT22001</t>
  </si>
  <si>
    <t>PIPAS MGA MRAC-LIM-PAC 400 T10</t>
  </si>
  <si>
    <t>PT22002</t>
  </si>
  <si>
    <t>PIPAS MGA MRAC-LIM-PAC 400 T20</t>
  </si>
  <si>
    <t>PT23001</t>
  </si>
  <si>
    <t>PIPAS MGA PIC-LIM-PAC 400 T-10</t>
  </si>
  <si>
    <t>PT23002</t>
  </si>
  <si>
    <t>PIPAS MGA PIC-LIM-PAC 400 T-20</t>
  </si>
  <si>
    <t>PT30001</t>
  </si>
  <si>
    <t>C PIPAS SPINNY SAL CAJA 24U120</t>
  </si>
  <si>
    <t>PT70001</t>
  </si>
  <si>
    <t>POLVO MEGA LIMON PAC 60 SOL</t>
  </si>
  <si>
    <t>PT70002</t>
  </si>
  <si>
    <t>POLVO MEGA LIMON GRN</t>
  </si>
  <si>
    <t>PT71001</t>
  </si>
  <si>
    <t>POLVO MEGA MARACYA PAC 60 SOL</t>
  </si>
  <si>
    <t>PT71002</t>
  </si>
  <si>
    <t>POLVO MEGA MARACUYA GRN</t>
  </si>
  <si>
    <t>PT72001</t>
  </si>
  <si>
    <t>POLVO MGA MIX LIM-MARC  60 SOL</t>
  </si>
  <si>
    <t>PT22003</t>
  </si>
  <si>
    <t>PIPAS MGA MRAC-LIM 36 U  120 G</t>
  </si>
  <si>
    <t>PT22004</t>
  </si>
  <si>
    <t>C PIPAS MGA MRAC-LIM 36 U 120G</t>
  </si>
  <si>
    <t>KILOS DIARIOS</t>
  </si>
  <si>
    <t>HORNO PEQ</t>
  </si>
  <si>
    <t>8H</t>
  </si>
  <si>
    <t>10.5H</t>
  </si>
  <si>
    <t>HORNO GRAN</t>
  </si>
  <si>
    <t>PT10009</t>
  </si>
  <si>
    <t>PT20008</t>
  </si>
  <si>
    <t>PIPAS MGA VER-COLOM 400 T-20</t>
  </si>
  <si>
    <t>STOK SEMANAL PACAS PROMEDIO</t>
  </si>
  <si>
    <t>sep</t>
  </si>
  <si>
    <t>PT13002</t>
  </si>
  <si>
    <t>PIPAS E MAR - PACAS 400 U T-20</t>
  </si>
  <si>
    <t>ITEM</t>
  </si>
  <si>
    <t>DESCRIPCION</t>
  </si>
  <si>
    <t>INGRESOS</t>
  </si>
  <si>
    <t>DESPACHOS</t>
  </si>
  <si>
    <t>SALDO</t>
  </si>
  <si>
    <t>PIPAS E SAL DEGUSTACION</t>
  </si>
  <si>
    <t>PT21006</t>
  </si>
  <si>
    <t>PIPAS MGA ACID-LEM P 400 T20+2</t>
  </si>
  <si>
    <t>oct</t>
  </si>
  <si>
    <t>nov</t>
  </si>
  <si>
    <t>dic</t>
  </si>
  <si>
    <t>UNIDAD MANEJO</t>
  </si>
  <si>
    <t>KG</t>
  </si>
  <si>
    <t>UNIDADES MENSUALES</t>
  </si>
  <si>
    <t>UNIDADES DIARIAS</t>
  </si>
  <si>
    <t>PACAS PROMEDIO MENSUAL</t>
  </si>
  <si>
    <t>(+) % INCREMENTO</t>
  </si>
  <si>
    <t>PACAS PRODUCCION DIARIA</t>
  </si>
  <si>
    <t>STOCK ACTUAL BODEGA</t>
  </si>
  <si>
    <t>KILOS A CUMPLIR</t>
  </si>
  <si>
    <t>DIF PACAS</t>
  </si>
  <si>
    <t>DIF UNIDADES</t>
  </si>
  <si>
    <t xml:space="preserve">TOTAL PACAS </t>
  </si>
  <si>
    <t>T-20</t>
  </si>
  <si>
    <t>PROMEDIO X MINUTO</t>
  </si>
  <si>
    <t>POR HORA</t>
  </si>
  <si>
    <t>EN 8 HORAS</t>
  </si>
  <si>
    <t>T-10</t>
  </si>
  <si>
    <t>(4) PERSONAS TIRAS DIARIAS</t>
  </si>
  <si>
    <t>LO QUE SE NECESITA TIRAS SEMANALES</t>
  </si>
  <si>
    <t>PRODUCCION SEMANAL</t>
  </si>
  <si>
    <t>POLVO MGA MIX LIM-MARC  60 SOL</t>
  </si>
  <si>
    <t>PIPAS MGA MRAC-LIM 36 U  120 G</t>
  </si>
  <si>
    <t>PT20013</t>
  </si>
  <si>
    <t>PIPAS MGA VERDE P 400 T20+2</t>
  </si>
  <si>
    <t>392,5</t>
  </si>
  <si>
    <t>154,5</t>
  </si>
  <si>
    <t>297,5</t>
  </si>
  <si>
    <t>183,5</t>
  </si>
  <si>
    <t>403,5</t>
  </si>
  <si>
    <t>246,5</t>
  </si>
  <si>
    <t>834,5</t>
  </si>
  <si>
    <t>321,5</t>
  </si>
  <si>
    <t>223,5</t>
  </si>
  <si>
    <t>145,5</t>
  </si>
  <si>
    <t>108,5</t>
  </si>
  <si>
    <t>218,5</t>
  </si>
  <si>
    <t>212,5</t>
  </si>
  <si>
    <t>80,5</t>
  </si>
  <si>
    <t>TOTAL PACAS 19 GR</t>
  </si>
  <si>
    <t>TOTAL PACAS 120GR</t>
  </si>
  <si>
    <t>POLVO MGA LIMON PAC 60 SOL</t>
  </si>
  <si>
    <t>POLVO MGA MARACUYA PAC 60 SOL</t>
  </si>
  <si>
    <t>POLVO MGA LIMON GRN</t>
  </si>
  <si>
    <t>POLVO MGA MARACUYA GRN</t>
  </si>
  <si>
    <t>2284,5</t>
  </si>
  <si>
    <t>2638,5</t>
  </si>
  <si>
    <t>2398,5</t>
  </si>
  <si>
    <t>4734,5</t>
  </si>
  <si>
    <t>6993,5</t>
  </si>
  <si>
    <t>6604,5</t>
  </si>
  <si>
    <t>9263,5</t>
  </si>
  <si>
    <t>3269,5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</si>
</sst>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_);[Red]\(0.00\)"/>
    <numFmt numFmtId="165" formatCode="0_);[Red]\(0\)"/>
    <numFmt numFmtId="166" formatCode="0.000000000000_);[Red]\(0.0000000000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  <family val="2"/>
      <scheme val="minor"/>
    </font>
    <font>
      <sz val="11"/>
      <name val="Segoe U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Segoe UI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BFBFBF"/>
      </top>
      <bottom style="medium">
        <color rgb="FFBFBFBF"/>
      </bottom>
      <diagonal/>
    </border>
    <border>
      <left/>
      <right style="medium">
        <color rgb="FFD9D9D9"/>
      </right>
      <top style="medium">
        <color rgb="FFBFBFBF"/>
      </top>
      <bottom style="medium">
        <color rgb="FFBFBFBF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/>
      <right style="medium">
        <color rgb="FFD9D9D9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43" fontId="0" fillId="0" borderId="0" xfId="1" applyFont="1"/>
    <xf numFmtId="43" fontId="2" fillId="0" borderId="0" xfId="1" applyFont="1"/>
    <xf numFmtId="0" fontId="2" fillId="0" borderId="0" xfId="0" applyFont="1" applyAlignment="1">
      <alignment horizontal="center"/>
    </xf>
    <xf numFmtId="0" fontId="2" fillId="0" borderId="0" xfId="0" applyFont="1"/>
    <xf numFmtId="43" fontId="0" fillId="0" borderId="0" xfId="0" applyNumberFormat="1"/>
    <xf numFmtId="0" fontId="0" fillId="0" borderId="0" xfId="0" applyAlignment="1">
      <alignment horizontal="right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6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right" vertical="center"/>
    </xf>
    <xf numFmtId="0" fontId="8" fillId="0" borderId="0" xfId="0" applyFont="1"/>
    <xf numFmtId="0" fontId="9" fillId="0" borderId="0" xfId="0" applyFont="1"/>
    <xf numFmtId="43" fontId="3" fillId="5" borderId="5" xfId="0" applyNumberFormat="1" applyFont="1" applyFill="1" applyBorder="1"/>
    <xf numFmtId="43" fontId="3" fillId="5" borderId="5" xfId="1" applyFont="1" applyFill="1" applyBorder="1"/>
    <xf numFmtId="3" fontId="2" fillId="0" borderId="0" xfId="1" applyNumberFormat="1" applyFont="1" applyAlignment="1">
      <alignment horizontal="center"/>
    </xf>
    <xf numFmtId="3" fontId="0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2" applyFont="1"/>
    <xf numFmtId="9" fontId="2" fillId="0" borderId="0" xfId="2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9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3" fontId="10" fillId="0" borderId="0" xfId="0" applyNumberFormat="1" applyFont="1" applyAlignment="1">
      <alignment horizontal="center" vertical="center" wrapText="1"/>
    </xf>
    <xf numFmtId="3" fontId="3" fillId="5" borderId="5" xfId="0" applyNumberFormat="1" applyFont="1" applyFill="1" applyBorder="1" applyAlignment="1">
      <alignment horizontal="center"/>
    </xf>
    <xf numFmtId="9" fontId="10" fillId="6" borderId="0" xfId="0" applyNumberFormat="1" applyFont="1" applyFill="1" applyAlignment="1">
      <alignment horizontal="center" vertical="center" wrapText="1"/>
    </xf>
    <xf numFmtId="3" fontId="2" fillId="6" borderId="0" xfId="1" applyNumberFormat="1" applyFont="1" applyFill="1" applyAlignment="1">
      <alignment horizontal="center"/>
    </xf>
    <xf numFmtId="3" fontId="0" fillId="0" borderId="0" xfId="1" applyNumberFormat="1" applyFont="1" applyFill="1" applyAlignment="1">
      <alignment horizontal="center"/>
    </xf>
    <xf numFmtId="3" fontId="2" fillId="0" borderId="0" xfId="2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3" fillId="7" borderId="5" xfId="1" applyNumberFormat="1" applyFont="1" applyFill="1" applyBorder="1" applyAlignment="1">
      <alignment horizontal="center"/>
    </xf>
    <xf numFmtId="3" fontId="3" fillId="7" borderId="5" xfId="0" applyNumberFormat="1" applyFont="1" applyFill="1" applyBorder="1" applyAlignment="1">
      <alignment horizontal="center"/>
    </xf>
    <xf numFmtId="43" fontId="3" fillId="7" borderId="5" xfId="0" applyNumberFormat="1" applyFont="1" applyFill="1" applyBorder="1"/>
    <xf numFmtId="43" fontId="3" fillId="8" borderId="5" xfId="0" applyNumberFormat="1" applyFont="1" applyFill="1" applyBorder="1"/>
    <xf numFmtId="3" fontId="3" fillId="8" borderId="5" xfId="0" applyNumberFormat="1" applyFont="1" applyFill="1" applyBorder="1" applyAlignment="1">
      <alignment horizontal="center"/>
    </xf>
    <xf numFmtId="0" fontId="0" fillId="8" borderId="0" xfId="0" applyFill="1"/>
    <xf numFmtId="3" fontId="2" fillId="0" borderId="0" xfId="1" applyNumberFormat="1" applyFont="1" applyFill="1" applyBorder="1" applyAlignment="1">
      <alignment horizontal="center"/>
    </xf>
    <xf numFmtId="3" fontId="3" fillId="0" borderId="0" xfId="1" applyNumberFormat="1" applyFont="1" applyFill="1" applyBorder="1" applyAlignment="1">
      <alignment horizontal="center"/>
    </xf>
    <xf numFmtId="3" fontId="0" fillId="0" borderId="0" xfId="1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2" fillId="0" borderId="0" xfId="2" applyNumberFormat="1" applyFont="1" applyFill="1" applyBorder="1" applyAlignment="1">
      <alignment horizontal="center"/>
    </xf>
    <xf numFmtId="43" fontId="2" fillId="0" borderId="0" xfId="1" applyFont="1" applyFill="1" applyBorder="1"/>
    <xf numFmtId="43" fontId="3" fillId="0" borderId="0" xfId="1" applyFont="1" applyFill="1" applyBorder="1"/>
    <xf numFmtId="43" fontId="3" fillId="0" borderId="0" xfId="0" applyNumberFormat="1" applyFont="1"/>
    <xf numFmtId="3" fontId="0" fillId="0" borderId="0" xfId="0" applyNumberFormat="1"/>
    <xf numFmtId="0" fontId="2" fillId="9" borderId="0" xfId="0" applyFont="1" applyFill="1"/>
    <xf numFmtId="43" fontId="2" fillId="10" borderId="0" xfId="1" applyFont="1" applyFill="1"/>
    <xf numFmtId="43" fontId="12" fillId="0" borderId="0" xfId="1" applyFont="1"/>
    <xf numFmtId="0" fontId="12" fillId="0" borderId="0" xfId="0" applyFont="1"/>
    <xf numFmtId="43" fontId="12" fillId="0" borderId="0" xfId="0" applyNumberFormat="1" applyFont="1"/>
    <xf numFmtId="0" fontId="13" fillId="0" borderId="0" xfId="0" applyFont="1"/>
    <xf numFmtId="43" fontId="0" fillId="9" borderId="0" xfId="1" applyFont="1" applyFill="1"/>
    <xf numFmtId="17" fontId="10" fillId="9" borderId="0" xfId="0" applyNumberFormat="1" applyFont="1" applyFill="1" applyAlignment="1">
      <alignment horizontal="center" vertical="center"/>
    </xf>
    <xf numFmtId="1" fontId="0" fillId="0" borderId="0" xfId="0" applyNumberFormat="1"/>
    <xf numFmtId="1" fontId="0" fillId="0" borderId="0" xfId="1" applyNumberFormat="1" applyFont="1"/>
    <xf numFmtId="1" fontId="2" fillId="0" borderId="0" xfId="1" applyNumberFormat="1" applyFont="1"/>
    <xf numFmtId="165" fontId="2" fillId="0" borderId="0" xfId="0" applyNumberFormat="1" applyFont="1"/>
    <xf numFmtId="165" fontId="14" fillId="0" borderId="0" xfId="0" applyNumberFormat="1" applyFont="1"/>
    <xf numFmtId="165" fontId="2" fillId="0" borderId="0" xfId="1" applyNumberFormat="1" applyFont="1"/>
    <xf numFmtId="164" fontId="2" fillId="0" borderId="0" xfId="0" applyNumberFormat="1" applyFont="1"/>
    <xf numFmtId="4" fontId="15" fillId="0" borderId="0" xfId="0" applyNumberFormat="1" applyFont="1" applyAlignment="1">
      <alignment horizontal="left" vertical="center"/>
    </xf>
    <xf numFmtId="0" fontId="17" fillId="0" borderId="0" xfId="0" applyFont="1"/>
    <xf numFmtId="4" fontId="16" fillId="0" borderId="0" xfId="0" applyNumberFormat="1" applyFont="1"/>
    <xf numFmtId="4" fontId="18" fillId="0" borderId="0" xfId="0" applyNumberFormat="1" applyFont="1" applyAlignment="1">
      <alignment horizontal="left" vertical="center"/>
    </xf>
    <xf numFmtId="4" fontId="19" fillId="0" borderId="0" xfId="0" applyNumberFormat="1" applyFont="1" applyAlignment="1">
      <alignment horizontal="center"/>
    </xf>
    <xf numFmtId="0" fontId="14" fillId="0" borderId="0" xfId="0" applyFont="1"/>
    <xf numFmtId="166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0D08-E56C-4BDF-AB57-B92654619DE4}">
  <dimension ref="A1:B15"/>
  <sheetViews>
    <sheetView workbookViewId="0">
      <selection activeCell="B13" sqref="B13"/>
    </sheetView>
  </sheetViews>
  <sheetFormatPr baseColWidth="10" defaultRowHeight="15" x14ac:dyDescent="0.25"/>
  <sheetData>
    <row r="1" spans="1:2" x14ac:dyDescent="0.25">
      <c r="B1" s="3" t="s">
        <v>81</v>
      </c>
    </row>
    <row r="2" spans="1:2" x14ac:dyDescent="0.25">
      <c r="A2" s="6" t="s">
        <v>82</v>
      </c>
      <c r="B2" s="1">
        <f>400*8</f>
        <v>3200</v>
      </c>
    </row>
    <row r="3" spans="1:2" x14ac:dyDescent="0.25">
      <c r="A3" s="6" t="s">
        <v>83</v>
      </c>
      <c r="B3" s="1">
        <f>450*10.5</f>
        <v>4725</v>
      </c>
    </row>
    <row r="4" spans="1:2" x14ac:dyDescent="0.25">
      <c r="A4" s="6"/>
    </row>
    <row r="5" spans="1:2" x14ac:dyDescent="0.25">
      <c r="A5" s="6"/>
      <c r="B5" s="4" t="s">
        <v>84</v>
      </c>
    </row>
    <row r="6" spans="1:2" x14ac:dyDescent="0.25">
      <c r="A6" s="6" t="s">
        <v>82</v>
      </c>
      <c r="B6" s="1">
        <f>420*8</f>
        <v>3360</v>
      </c>
    </row>
    <row r="7" spans="1:2" x14ac:dyDescent="0.25">
      <c r="A7" s="6" t="s">
        <v>83</v>
      </c>
      <c r="B7" s="1">
        <f>550*10.5</f>
        <v>5775</v>
      </c>
    </row>
    <row r="13" spans="1:2" x14ac:dyDescent="0.25">
      <c r="B13" s="5">
        <f>+B2</f>
        <v>3200</v>
      </c>
    </row>
    <row r="14" spans="1:2" x14ac:dyDescent="0.25">
      <c r="B14" s="5"/>
    </row>
    <row r="15" spans="1:2" x14ac:dyDescent="0.25">
      <c r="B15" s="5">
        <f>+B2+B6</f>
        <v>6560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1199-8922-41FD-A55A-639E2B27EAC6}">
  <sheetPr codeName="Hoja1">
    <pageSetUpPr fitToPage="1"/>
  </sheetPr>
  <dimension ref="A1:AL59"/>
  <sheetViews>
    <sheetView tabSelected="1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O59" sqref="O59"/>
    </sheetView>
  </sheetViews>
  <sheetFormatPr baseColWidth="10" defaultRowHeight="15" outlineLevelCol="1" x14ac:dyDescent="0.25"/>
  <cols>
    <col min="1" max="1" width="8.140625" bestFit="1" customWidth="1"/>
    <col min="2" max="2" width="32.85546875" bestFit="1" customWidth="1"/>
    <col min="3" max="3" width="13.85546875" customWidth="1" outlineLevel="1"/>
    <col min="4" max="14" width="10.5703125" customWidth="1" outlineLevel="1"/>
    <col min="15" max="15" width="11.140625" bestFit="1" customWidth="1"/>
    <col min="16" max="18" width="11.140625" customWidth="1"/>
    <col min="19" max="19" width="12.28515625" style="4" customWidth="1"/>
    <col min="20" max="20" width="5.140625" style="4" customWidth="1"/>
    <col min="21" max="21" width="10.85546875" bestFit="1" customWidth="1"/>
    <col min="22" max="22" width="14.140625" bestFit="1" customWidth="1"/>
    <col min="23" max="23" width="8.5703125" customWidth="1"/>
    <col min="24" max="24" width="11" customWidth="1"/>
    <col min="25" max="25" width="10.7109375" bestFit="1" customWidth="1"/>
    <col min="26" max="26" width="9.85546875" style="22" customWidth="1"/>
    <col min="27" max="27" width="4.28515625" style="22" customWidth="1"/>
    <col min="28" max="28" width="13.140625" style="22" bestFit="1" customWidth="1"/>
    <col min="29" max="29" width="7.7109375" style="22" bestFit="1" customWidth="1"/>
    <col min="30" max="30" width="11.5703125" style="22" bestFit="1" customWidth="1"/>
    <col min="31" max="31" width="11.5703125" style="22" customWidth="1"/>
    <col min="32" max="32" width="6" bestFit="1" customWidth="1"/>
    <col min="33" max="33" width="11.5703125" style="22" bestFit="1" customWidth="1"/>
    <col min="34" max="34" width="3" customWidth="1"/>
    <col min="35" max="35" width="11.42578125" style="22"/>
  </cols>
  <sheetData>
    <row r="1" spans="1:35" s="29" customFormat="1" ht="51" x14ac:dyDescent="0.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89</v>
      </c>
      <c r="L1" s="25" t="s">
        <v>100</v>
      </c>
      <c r="M1" s="25" t="s">
        <v>101</v>
      </c>
      <c r="N1" s="25" t="s">
        <v>102</v>
      </c>
      <c r="O1" s="59">
        <v>45292</v>
      </c>
      <c r="P1" s="59">
        <v>45346</v>
      </c>
      <c r="Q1" s="59">
        <v>45375</v>
      </c>
      <c r="R1" s="59">
        <v>45406</v>
      </c>
      <c r="S1" s="26" t="s">
        <v>114</v>
      </c>
      <c r="T1" s="25"/>
      <c r="U1" s="26" t="s">
        <v>107</v>
      </c>
      <c r="V1" s="27" t="s">
        <v>108</v>
      </c>
      <c r="W1" s="32" t="s">
        <v>110</v>
      </c>
      <c r="X1" s="27" t="s">
        <v>88</v>
      </c>
      <c r="Y1" s="27" t="s">
        <v>112</v>
      </c>
      <c r="Z1" s="27" t="s">
        <v>113</v>
      </c>
      <c r="AA1" s="27"/>
      <c r="AB1" s="30" t="s">
        <v>109</v>
      </c>
      <c r="AC1" s="30" t="s">
        <v>103</v>
      </c>
      <c r="AD1" s="30" t="s">
        <v>105</v>
      </c>
      <c r="AE1" s="30" t="s">
        <v>106</v>
      </c>
      <c r="AF1" s="28" t="s">
        <v>104</v>
      </c>
      <c r="AG1" s="30" t="s">
        <v>80</v>
      </c>
      <c r="AI1" s="30" t="s">
        <v>111</v>
      </c>
    </row>
    <row r="2" spans="1:35" x14ac:dyDescent="0.25">
      <c r="A2" t="s">
        <v>10</v>
      </c>
      <c r="B2" t="s">
        <v>11</v>
      </c>
      <c r="C2" s="1">
        <v>1016.5</v>
      </c>
      <c r="D2" s="1">
        <v>658.5</v>
      </c>
      <c r="E2" s="1">
        <v>756</v>
      </c>
      <c r="F2" s="1">
        <v>679.5</v>
      </c>
      <c r="G2" s="1">
        <v>895.5</v>
      </c>
      <c r="H2" s="1">
        <v>789</v>
      </c>
      <c r="I2" s="1">
        <v>735</v>
      </c>
      <c r="J2" s="1">
        <v>905</v>
      </c>
      <c r="K2" s="1">
        <v>745</v>
      </c>
      <c r="L2" s="1">
        <v>791.5</v>
      </c>
      <c r="M2" s="1">
        <v>664.5</v>
      </c>
      <c r="N2" s="1">
        <v>551.5</v>
      </c>
      <c r="O2" s="58">
        <v>549.5</v>
      </c>
      <c r="P2" s="58">
        <v>616.5</v>
      </c>
      <c r="Q2" s="58">
        <v>714</v>
      </c>
      <c r="R2" s="58">
        <v>645</v>
      </c>
      <c r="S2" s="2">
        <f t="shared" ref="S2:S33" si="0">SUM(C2:R2)</f>
        <v>11712.5</v>
      </c>
      <c r="T2" s="48"/>
      <c r="U2" s="20">
        <f>+AVERAGE(C2:R2)</f>
        <v>732.03125</v>
      </c>
      <c r="V2" s="20">
        <f t="shared" ref="V2:V21" si="1">+U2*$V$47+U2</f>
        <v>785.103515625</v>
      </c>
      <c r="W2" s="33">
        <f>+VLOOKUP(A2,'INVENTARIO ACTUAL'!$A$2:$E$40,5,FALSE)</f>
        <v>235.5</v>
      </c>
      <c r="X2" s="20">
        <f>+V2/4</f>
        <v>196.27587890625</v>
      </c>
      <c r="Y2" s="20">
        <f>+W2-X2</f>
        <v>39.22412109375</v>
      </c>
      <c r="Z2" s="20">
        <f>+Y2*AC2</f>
        <v>15689.6484375</v>
      </c>
      <c r="AA2" s="43"/>
      <c r="AB2" s="21">
        <f t="shared" ref="AB2:AB21" si="2">+V2/20</f>
        <v>39.255175781250003</v>
      </c>
      <c r="AC2" s="21">
        <v>400</v>
      </c>
      <c r="AD2" s="22">
        <f t="shared" ref="AD2:AD21" si="3">+V2*AC2</f>
        <v>314041.40625</v>
      </c>
      <c r="AE2" s="22">
        <f>+AD2/20</f>
        <v>15702.0703125</v>
      </c>
      <c r="AF2">
        <v>1.9E-2</v>
      </c>
      <c r="AG2" s="21">
        <f>+AE2*AF2</f>
        <v>298.33933593749998</v>
      </c>
      <c r="AI2" s="20">
        <f>+IF(Z2&lt;=0,Z2*AF2,0)</f>
        <v>0</v>
      </c>
    </row>
    <row r="3" spans="1:35" x14ac:dyDescent="0.25">
      <c r="A3" t="s">
        <v>12</v>
      </c>
      <c r="B3" t="s">
        <v>13</v>
      </c>
      <c r="C3" s="1">
        <v>699.5</v>
      </c>
      <c r="D3" s="1">
        <v>522</v>
      </c>
      <c r="E3" s="1">
        <v>643</v>
      </c>
      <c r="F3" s="1">
        <v>588</v>
      </c>
      <c r="G3" s="1">
        <v>591</v>
      </c>
      <c r="H3" s="1">
        <v>536</v>
      </c>
      <c r="I3" s="1">
        <v>563</v>
      </c>
      <c r="J3" s="1">
        <v>617</v>
      </c>
      <c r="K3" s="1">
        <v>565</v>
      </c>
      <c r="L3" s="1">
        <v>530</v>
      </c>
      <c r="M3" s="1">
        <v>507</v>
      </c>
      <c r="N3" s="1">
        <v>411.5</v>
      </c>
      <c r="O3" s="58">
        <v>562.5</v>
      </c>
      <c r="P3" s="58">
        <v>511</v>
      </c>
      <c r="Q3" s="58">
        <v>553.5</v>
      </c>
      <c r="R3" s="58">
        <v>474.5</v>
      </c>
      <c r="S3" s="2">
        <f t="shared" si="0"/>
        <v>8874.5</v>
      </c>
      <c r="T3" s="48"/>
      <c r="U3" s="20">
        <f t="shared" ref="U3:U9" si="4">+AVERAGE(C3:R3)</f>
        <v>554.65625</v>
      </c>
      <c r="V3" s="20">
        <f t="shared" si="1"/>
        <v>594.86882812500005</v>
      </c>
      <c r="W3" s="33">
        <f>+VLOOKUP(A3,'INVENTARIO ACTUAL'!$A$2:$E$40,5,FALSE)</f>
        <v>223.5</v>
      </c>
      <c r="X3" s="20">
        <f t="shared" ref="X3:X35" si="5">+V3/4</f>
        <v>148.71720703125001</v>
      </c>
      <c r="Y3" s="20">
        <f>+W3-X3</f>
        <v>74.782792968749987</v>
      </c>
      <c r="Z3" s="20">
        <f t="shared" ref="Z3:Z35" si="6">+Y3*AC3</f>
        <v>29913.117187499996</v>
      </c>
      <c r="AA3" s="43"/>
      <c r="AB3" s="21">
        <f t="shared" si="2"/>
        <v>29.743441406250003</v>
      </c>
      <c r="AC3" s="21">
        <v>400</v>
      </c>
      <c r="AD3" s="22">
        <f t="shared" si="3"/>
        <v>237947.53125000003</v>
      </c>
      <c r="AE3" s="22">
        <f t="shared" ref="AE3:AE35" si="7">+AD3/20</f>
        <v>11897.376562500001</v>
      </c>
      <c r="AF3">
        <v>1.9E-2</v>
      </c>
      <c r="AG3" s="21">
        <f t="shared" ref="AG3:AG35" si="8">+AE3*AF3</f>
        <v>226.05015468750003</v>
      </c>
      <c r="AI3" s="20">
        <f>+IF(Z3&lt;=0,Z3*AF3,0)</f>
        <v>0</v>
      </c>
    </row>
    <row r="4" spans="1:35" x14ac:dyDescent="0.25">
      <c r="A4" t="s">
        <v>18</v>
      </c>
      <c r="B4" t="s">
        <v>19</v>
      </c>
      <c r="C4" s="1">
        <v>63.5</v>
      </c>
      <c r="D4" s="1">
        <v>36</v>
      </c>
      <c r="E4" s="1">
        <v>79</v>
      </c>
      <c r="F4" s="1">
        <v>85</v>
      </c>
      <c r="G4" s="1">
        <v>93</v>
      </c>
      <c r="H4" s="1">
        <v>54</v>
      </c>
      <c r="I4" s="1">
        <v>62</v>
      </c>
      <c r="J4" s="1">
        <v>73</v>
      </c>
      <c r="K4" s="1">
        <v>53</v>
      </c>
      <c r="L4" s="1">
        <v>53</v>
      </c>
      <c r="M4" s="1">
        <v>32</v>
      </c>
      <c r="N4" s="1">
        <v>27</v>
      </c>
      <c r="O4" s="58">
        <v>35</v>
      </c>
      <c r="P4" s="58">
        <v>34</v>
      </c>
      <c r="Q4" s="58">
        <v>33</v>
      </c>
      <c r="R4" s="58">
        <v>43</v>
      </c>
      <c r="S4" s="2">
        <f t="shared" si="0"/>
        <v>855.5</v>
      </c>
      <c r="T4" s="48"/>
      <c r="U4" s="20">
        <f t="shared" si="4"/>
        <v>53.46875</v>
      </c>
      <c r="V4" s="20">
        <f t="shared" si="1"/>
        <v>57.345234374999997</v>
      </c>
      <c r="W4" s="33">
        <f>+VLOOKUP(A4,'INVENTARIO ACTUAL'!$A$2:$E$40,5,FALSE)</f>
        <v>71</v>
      </c>
      <c r="X4" s="20">
        <f t="shared" si="5"/>
        <v>14.336308593749999</v>
      </c>
      <c r="Y4" s="20">
        <f t="shared" ref="Y4:Y35" si="9">+W4-X4</f>
        <v>56.663691406250003</v>
      </c>
      <c r="Z4" s="20">
        <f t="shared" si="6"/>
        <v>22665.4765625</v>
      </c>
      <c r="AA4" s="43"/>
      <c r="AB4" s="21">
        <f t="shared" si="2"/>
        <v>2.86726171875</v>
      </c>
      <c r="AC4" s="21">
        <v>400</v>
      </c>
      <c r="AD4" s="22">
        <f t="shared" si="3"/>
        <v>22938.09375</v>
      </c>
      <c r="AE4" s="22">
        <f t="shared" si="7"/>
        <v>1146.9046874999999</v>
      </c>
      <c r="AF4">
        <v>1.9E-2</v>
      </c>
      <c r="AG4" s="21">
        <f t="shared" si="8"/>
        <v>21.791189062499999</v>
      </c>
      <c r="AI4" s="20">
        <f t="shared" ref="AI4:AI35" si="10">+IF(Z4&lt;=0,Z4*AF4,0)</f>
        <v>0</v>
      </c>
    </row>
    <row r="5" spans="1:35" x14ac:dyDescent="0.25">
      <c r="A5" t="s">
        <v>20</v>
      </c>
      <c r="B5" t="s">
        <v>21</v>
      </c>
      <c r="C5" s="1">
        <v>17</v>
      </c>
      <c r="D5" s="1">
        <v>9</v>
      </c>
      <c r="E5" s="1">
        <v>15</v>
      </c>
      <c r="F5" s="1">
        <v>5</v>
      </c>
      <c r="G5" s="1">
        <v>8</v>
      </c>
      <c r="H5" s="1">
        <v>8</v>
      </c>
      <c r="I5" s="1">
        <v>15</v>
      </c>
      <c r="J5" s="1">
        <v>18</v>
      </c>
      <c r="K5" s="1">
        <v>8</v>
      </c>
      <c r="L5" s="1">
        <v>8</v>
      </c>
      <c r="M5" s="1">
        <v>7</v>
      </c>
      <c r="N5" s="1">
        <v>11</v>
      </c>
      <c r="O5" s="58">
        <v>9</v>
      </c>
      <c r="P5" s="58">
        <v>12</v>
      </c>
      <c r="Q5" s="58">
        <v>4</v>
      </c>
      <c r="R5" s="58">
        <v>8</v>
      </c>
      <c r="S5" s="2">
        <f t="shared" si="0"/>
        <v>162</v>
      </c>
      <c r="T5" s="48"/>
      <c r="U5" s="20">
        <f t="shared" si="4"/>
        <v>10.125</v>
      </c>
      <c r="V5" s="20">
        <f t="shared" si="1"/>
        <v>10.8590625</v>
      </c>
      <c r="W5" s="33">
        <f>+VLOOKUP(A5,'INVENTARIO ACTUAL'!$A$2:$E$40,5,FALSE)</f>
        <v>10</v>
      </c>
      <c r="X5" s="20">
        <f t="shared" si="5"/>
        <v>2.7147656250000001</v>
      </c>
      <c r="Y5" s="20">
        <f t="shared" si="9"/>
        <v>7.2852343749999999</v>
      </c>
      <c r="Z5" s="20">
        <f t="shared" si="6"/>
        <v>2914.09375</v>
      </c>
      <c r="AA5" s="43"/>
      <c r="AB5" s="21">
        <f t="shared" si="2"/>
        <v>0.54295312500000004</v>
      </c>
      <c r="AC5" s="21">
        <v>400</v>
      </c>
      <c r="AD5" s="22">
        <f t="shared" si="3"/>
        <v>4343.625</v>
      </c>
      <c r="AE5" s="22">
        <f t="shared" si="7"/>
        <v>217.18125000000001</v>
      </c>
      <c r="AF5">
        <v>1.9E-2</v>
      </c>
      <c r="AG5" s="21">
        <f t="shared" si="8"/>
        <v>4.12644375</v>
      </c>
      <c r="AI5" s="20">
        <f t="shared" si="10"/>
        <v>0</v>
      </c>
    </row>
    <row r="6" spans="1:35" x14ac:dyDescent="0.25">
      <c r="A6" t="s">
        <v>26</v>
      </c>
      <c r="B6" t="s">
        <v>27</v>
      </c>
      <c r="C6" s="1">
        <v>533</v>
      </c>
      <c r="D6" s="1">
        <v>481</v>
      </c>
      <c r="E6" s="1">
        <v>544</v>
      </c>
      <c r="F6" s="1">
        <v>418.5</v>
      </c>
      <c r="G6" s="1">
        <v>606</v>
      </c>
      <c r="H6" s="1">
        <v>496</v>
      </c>
      <c r="I6" s="1">
        <v>562.5</v>
      </c>
      <c r="J6" s="1">
        <v>559</v>
      </c>
      <c r="K6" s="1">
        <v>514</v>
      </c>
      <c r="L6" s="1">
        <v>496</v>
      </c>
      <c r="M6" s="1">
        <v>421</v>
      </c>
      <c r="N6" s="1">
        <v>297</v>
      </c>
      <c r="O6" s="58">
        <v>411</v>
      </c>
      <c r="P6" s="58">
        <v>358</v>
      </c>
      <c r="Q6" s="58">
        <v>445</v>
      </c>
      <c r="R6" s="58">
        <v>357</v>
      </c>
      <c r="S6" s="2">
        <f t="shared" si="0"/>
        <v>7499</v>
      </c>
      <c r="T6" s="48"/>
      <c r="U6" s="20">
        <f t="shared" si="4"/>
        <v>468.6875</v>
      </c>
      <c r="V6" s="20">
        <f t="shared" si="1"/>
        <v>502.66734374999999</v>
      </c>
      <c r="W6" s="33">
        <f>+VLOOKUP(A6,'INVENTARIO ACTUAL'!$A$2:$E$40,5,FALSE)</f>
        <v>179</v>
      </c>
      <c r="X6" s="20">
        <f t="shared" si="5"/>
        <v>125.6668359375</v>
      </c>
      <c r="Y6" s="20">
        <f>+W6-X6</f>
        <v>53.333164062500003</v>
      </c>
      <c r="Z6" s="20">
        <f t="shared" si="6"/>
        <v>21333.265625</v>
      </c>
      <c r="AA6" s="43"/>
      <c r="AB6" s="21">
        <f t="shared" si="2"/>
        <v>25.133367187499999</v>
      </c>
      <c r="AC6" s="21">
        <v>400</v>
      </c>
      <c r="AD6" s="22">
        <f t="shared" si="3"/>
        <v>201066.9375</v>
      </c>
      <c r="AE6" s="22">
        <f t="shared" si="7"/>
        <v>10053.346874999999</v>
      </c>
      <c r="AF6">
        <v>1.9E-2</v>
      </c>
      <c r="AG6" s="21">
        <f t="shared" si="8"/>
        <v>191.01359062499998</v>
      </c>
      <c r="AI6" s="20">
        <f t="shared" si="10"/>
        <v>0</v>
      </c>
    </row>
    <row r="7" spans="1:35" x14ac:dyDescent="0.25">
      <c r="A7" t="s">
        <v>28</v>
      </c>
      <c r="B7" t="s">
        <v>29</v>
      </c>
      <c r="C7" s="1">
        <v>150</v>
      </c>
      <c r="D7" s="1">
        <v>81</v>
      </c>
      <c r="E7" s="1">
        <v>76</v>
      </c>
      <c r="F7" s="1">
        <v>91</v>
      </c>
      <c r="G7" s="1">
        <v>102</v>
      </c>
      <c r="H7" s="1">
        <v>77</v>
      </c>
      <c r="I7" s="1">
        <v>121</v>
      </c>
      <c r="J7" s="1">
        <v>94</v>
      </c>
      <c r="K7" s="1">
        <v>99</v>
      </c>
      <c r="L7" s="1">
        <v>93</v>
      </c>
      <c r="M7" s="1">
        <v>47</v>
      </c>
      <c r="N7" s="1">
        <v>78</v>
      </c>
      <c r="O7" s="58">
        <v>77</v>
      </c>
      <c r="P7" s="58">
        <v>66</v>
      </c>
      <c r="Q7" s="58">
        <v>66</v>
      </c>
      <c r="R7" s="58">
        <v>83</v>
      </c>
      <c r="S7" s="2">
        <f t="shared" si="0"/>
        <v>1401</v>
      </c>
      <c r="T7" s="48"/>
      <c r="U7" s="20">
        <f t="shared" si="4"/>
        <v>87.5625</v>
      </c>
      <c r="V7" s="20">
        <f t="shared" si="1"/>
        <v>93.910781249999999</v>
      </c>
      <c r="W7" s="33">
        <f>+VLOOKUP(A7,'INVENTARIO ACTUAL'!$A$2:$E$40,5,FALSE)</f>
        <v>67</v>
      </c>
      <c r="X7" s="20">
        <f t="shared" si="5"/>
        <v>23.4776953125</v>
      </c>
      <c r="Y7" s="20">
        <f t="shared" si="9"/>
        <v>43.522304687499997</v>
      </c>
      <c r="Z7" s="20">
        <f t="shared" si="6"/>
        <v>17408.921875</v>
      </c>
      <c r="AA7" s="43"/>
      <c r="AB7" s="21">
        <f t="shared" si="2"/>
        <v>4.6955390625</v>
      </c>
      <c r="AC7" s="21">
        <v>400</v>
      </c>
      <c r="AD7" s="22">
        <f t="shared" si="3"/>
        <v>37564.3125</v>
      </c>
      <c r="AE7" s="22">
        <f t="shared" si="7"/>
        <v>1878.215625</v>
      </c>
      <c r="AF7">
        <v>1.9E-2</v>
      </c>
      <c r="AG7" s="21">
        <f t="shared" si="8"/>
        <v>35.686096874999997</v>
      </c>
      <c r="AI7" s="20">
        <f t="shared" si="10"/>
        <v>0</v>
      </c>
    </row>
    <row r="8" spans="1:35" x14ac:dyDescent="0.25">
      <c r="A8" t="s">
        <v>34</v>
      </c>
      <c r="B8" t="s">
        <v>35</v>
      </c>
      <c r="C8" s="1">
        <v>155</v>
      </c>
      <c r="D8" s="1">
        <v>128</v>
      </c>
      <c r="E8" s="1">
        <v>80</v>
      </c>
      <c r="F8" s="1">
        <v>133</v>
      </c>
      <c r="G8" s="1">
        <v>224</v>
      </c>
      <c r="H8" s="1">
        <v>141</v>
      </c>
      <c r="I8" s="1">
        <v>160</v>
      </c>
      <c r="J8" s="1">
        <v>157</v>
      </c>
      <c r="K8" s="1">
        <v>160</v>
      </c>
      <c r="L8" s="1">
        <v>153</v>
      </c>
      <c r="M8" s="1">
        <v>83</v>
      </c>
      <c r="N8" s="1">
        <v>76</v>
      </c>
      <c r="O8" s="58">
        <v>103</v>
      </c>
      <c r="P8" s="58">
        <v>99</v>
      </c>
      <c r="Q8" s="58">
        <v>82</v>
      </c>
      <c r="R8" s="58">
        <v>85</v>
      </c>
      <c r="S8" s="2">
        <f t="shared" si="0"/>
        <v>2019</v>
      </c>
      <c r="T8" s="48"/>
      <c r="U8" s="20">
        <f t="shared" si="4"/>
        <v>126.1875</v>
      </c>
      <c r="V8" s="20">
        <f t="shared" si="1"/>
        <v>135.33609375</v>
      </c>
      <c r="W8" s="33">
        <f>+VLOOKUP(A8,'INVENTARIO ACTUAL'!$A$2:$E$40,5,FALSE)</f>
        <v>83</v>
      </c>
      <c r="X8" s="20">
        <f t="shared" si="5"/>
        <v>33.834023437500001</v>
      </c>
      <c r="Y8" s="20">
        <f>+W8-X8</f>
        <v>49.165976562499999</v>
      </c>
      <c r="Z8" s="20">
        <f>+Y8*AC8</f>
        <v>19666.390625</v>
      </c>
      <c r="AA8" s="43"/>
      <c r="AB8" s="21">
        <f t="shared" si="2"/>
        <v>6.7668046875000005</v>
      </c>
      <c r="AC8" s="21">
        <v>400</v>
      </c>
      <c r="AD8" s="22">
        <f t="shared" si="3"/>
        <v>54134.4375</v>
      </c>
      <c r="AE8" s="22">
        <f t="shared" si="7"/>
        <v>2706.7218750000002</v>
      </c>
      <c r="AF8">
        <v>1.9E-2</v>
      </c>
      <c r="AG8" s="21">
        <f t="shared" si="8"/>
        <v>51.427715625000005</v>
      </c>
      <c r="AI8" s="20">
        <f t="shared" si="10"/>
        <v>0</v>
      </c>
    </row>
    <row r="9" spans="1:35" x14ac:dyDescent="0.25">
      <c r="A9" t="s">
        <v>90</v>
      </c>
      <c r="B9" t="s">
        <v>91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58">
        <v>0</v>
      </c>
      <c r="P9" s="58"/>
      <c r="Q9" s="58"/>
      <c r="R9" s="58"/>
      <c r="S9" s="2">
        <f t="shared" si="0"/>
        <v>0</v>
      </c>
      <c r="T9" s="48"/>
      <c r="U9" s="20">
        <f t="shared" si="4"/>
        <v>0</v>
      </c>
      <c r="V9" s="20">
        <f t="shared" si="1"/>
        <v>0</v>
      </c>
      <c r="W9" s="33"/>
      <c r="X9" s="20">
        <f t="shared" si="5"/>
        <v>0</v>
      </c>
      <c r="Y9" s="20">
        <f t="shared" si="9"/>
        <v>0</v>
      </c>
      <c r="Z9" s="20">
        <f t="shared" si="6"/>
        <v>0</v>
      </c>
      <c r="AA9" s="43"/>
      <c r="AB9" s="21">
        <f t="shared" si="2"/>
        <v>0</v>
      </c>
      <c r="AC9" s="21">
        <v>400</v>
      </c>
      <c r="AD9" s="22">
        <f t="shared" si="3"/>
        <v>0</v>
      </c>
      <c r="AE9" s="22">
        <f t="shared" si="7"/>
        <v>0</v>
      </c>
      <c r="AG9" s="21">
        <f t="shared" si="8"/>
        <v>0</v>
      </c>
      <c r="AI9" s="20">
        <f t="shared" si="10"/>
        <v>0</v>
      </c>
    </row>
    <row r="10" spans="1:35" x14ac:dyDescent="0.25">
      <c r="A10" t="s">
        <v>36</v>
      </c>
      <c r="B10" t="s">
        <v>37</v>
      </c>
      <c r="C10" s="1">
        <v>1493.5</v>
      </c>
      <c r="D10" s="1">
        <v>965</v>
      </c>
      <c r="E10" s="1">
        <v>944.5</v>
      </c>
      <c r="F10" s="1">
        <v>1022</v>
      </c>
      <c r="G10" s="1">
        <v>1321</v>
      </c>
      <c r="H10" s="1">
        <v>1067</v>
      </c>
      <c r="I10" s="1">
        <v>1015.5</v>
      </c>
      <c r="J10" s="1">
        <v>1277</v>
      </c>
      <c r="K10" s="1">
        <v>1254</v>
      </c>
      <c r="L10" s="1">
        <v>1110.5</v>
      </c>
      <c r="M10" s="1">
        <v>1142</v>
      </c>
      <c r="N10" s="1">
        <v>953</v>
      </c>
      <c r="O10" s="58">
        <v>987</v>
      </c>
      <c r="P10" s="58">
        <v>1004.5</v>
      </c>
      <c r="Q10" s="58">
        <v>1137</v>
      </c>
      <c r="R10" s="58">
        <v>930.5</v>
      </c>
      <c r="S10" s="2">
        <f t="shared" si="0"/>
        <v>17624</v>
      </c>
      <c r="T10" s="48"/>
      <c r="U10" s="20">
        <f t="shared" ref="U10:U35" si="11">+AVERAGE(C10:R10)</f>
        <v>1101.5</v>
      </c>
      <c r="V10" s="20">
        <f t="shared" si="1"/>
        <v>1181.3587500000001</v>
      </c>
      <c r="W10" s="33">
        <f>+VLOOKUP(A10,'INVENTARIO ACTUAL'!$A$2:$E$40,5,FALSE)</f>
        <v>497.5</v>
      </c>
      <c r="X10" s="20">
        <f t="shared" si="5"/>
        <v>295.33968750000003</v>
      </c>
      <c r="Y10" s="20">
        <f t="shared" si="9"/>
        <v>202.16031249999997</v>
      </c>
      <c r="Z10" s="20">
        <f t="shared" si="6"/>
        <v>80864.124999999985</v>
      </c>
      <c r="AA10" s="43"/>
      <c r="AB10" s="21">
        <f t="shared" si="2"/>
        <v>59.067937500000006</v>
      </c>
      <c r="AC10" s="21">
        <v>400</v>
      </c>
      <c r="AD10" s="22">
        <f t="shared" si="3"/>
        <v>472543.50000000006</v>
      </c>
      <c r="AE10" s="22">
        <f t="shared" si="7"/>
        <v>23627.175000000003</v>
      </c>
      <c r="AF10">
        <v>1.9E-2</v>
      </c>
      <c r="AG10" s="21">
        <f t="shared" si="8"/>
        <v>448.91632500000003</v>
      </c>
      <c r="AI10" s="20">
        <f t="shared" si="10"/>
        <v>0</v>
      </c>
    </row>
    <row r="11" spans="1:35" x14ac:dyDescent="0.25">
      <c r="A11" t="s">
        <v>38</v>
      </c>
      <c r="B11" t="s">
        <v>39</v>
      </c>
      <c r="C11" s="1">
        <v>3672</v>
      </c>
      <c r="D11" s="1">
        <v>3007</v>
      </c>
      <c r="E11" s="1">
        <v>3486</v>
      </c>
      <c r="F11" s="1">
        <v>3042.5</v>
      </c>
      <c r="G11" s="1">
        <v>3182.5</v>
      </c>
      <c r="H11" s="1">
        <v>2785</v>
      </c>
      <c r="I11" s="1">
        <v>2958.5</v>
      </c>
      <c r="J11" s="1">
        <v>2587</v>
      </c>
      <c r="K11" s="1">
        <v>3053</v>
      </c>
      <c r="L11" s="1">
        <v>2266.5</v>
      </c>
      <c r="M11" s="1">
        <v>2789.5</v>
      </c>
      <c r="N11" s="1">
        <v>2109.5</v>
      </c>
      <c r="O11" s="58">
        <v>2812.5</v>
      </c>
      <c r="P11" s="58">
        <v>2813.5</v>
      </c>
      <c r="Q11" s="58">
        <v>3044.5</v>
      </c>
      <c r="R11" s="58">
        <v>2173.5</v>
      </c>
      <c r="S11" s="2">
        <f t="shared" si="0"/>
        <v>45783</v>
      </c>
      <c r="T11" s="48"/>
      <c r="U11" s="20">
        <f t="shared" si="11"/>
        <v>2861.4375</v>
      </c>
      <c r="V11" s="20">
        <f t="shared" si="1"/>
        <v>3068.8917187500001</v>
      </c>
      <c r="W11" s="33">
        <f>+VLOOKUP(A11,'INVENTARIO ACTUAL'!$A$2:$E$40,5,FALSE)</f>
        <v>1225</v>
      </c>
      <c r="X11" s="20">
        <f t="shared" si="5"/>
        <v>767.22292968750003</v>
      </c>
      <c r="Y11" s="20">
        <f t="shared" si="9"/>
        <v>457.77707031249997</v>
      </c>
      <c r="Z11" s="20">
        <f t="shared" si="6"/>
        <v>183110.828125</v>
      </c>
      <c r="AA11" s="43"/>
      <c r="AB11" s="21">
        <f t="shared" si="2"/>
        <v>153.44458593749999</v>
      </c>
      <c r="AC11" s="21">
        <v>400</v>
      </c>
      <c r="AD11" s="22">
        <f t="shared" si="3"/>
        <v>1227556.6875</v>
      </c>
      <c r="AE11" s="22">
        <f t="shared" si="7"/>
        <v>61377.834374999999</v>
      </c>
      <c r="AF11">
        <v>1.9E-2</v>
      </c>
      <c r="AG11" s="21">
        <f t="shared" si="8"/>
        <v>1166.1788531249999</v>
      </c>
      <c r="AI11" s="20">
        <f t="shared" si="10"/>
        <v>0</v>
      </c>
    </row>
    <row r="12" spans="1:35" x14ac:dyDescent="0.25">
      <c r="A12" t="s">
        <v>125</v>
      </c>
      <c r="B12" t="s">
        <v>126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50</v>
      </c>
      <c r="N12" s="1">
        <v>142</v>
      </c>
      <c r="O12" s="58">
        <v>227</v>
      </c>
      <c r="P12" s="58">
        <v>185</v>
      </c>
      <c r="Q12" s="58">
        <v>234</v>
      </c>
      <c r="R12" s="58">
        <v>307</v>
      </c>
      <c r="S12" s="2">
        <f t="shared" si="0"/>
        <v>1145</v>
      </c>
      <c r="T12" s="48"/>
      <c r="U12" s="20">
        <f t="shared" si="11"/>
        <v>71.5625</v>
      </c>
      <c r="V12" s="20">
        <f t="shared" si="1"/>
        <v>76.750781250000003</v>
      </c>
      <c r="W12" s="33">
        <f>+VLOOKUP(A12,'INVENTARIO ACTUAL'!$A$2:$E$40,5,FALSE)</f>
        <v>62</v>
      </c>
      <c r="X12" s="20">
        <f t="shared" ref="X12" si="12">+V12/4</f>
        <v>19.187695312500001</v>
      </c>
      <c r="Y12" s="20">
        <f t="shared" ref="Y12" si="13">+W12-X12</f>
        <v>42.812304687500003</v>
      </c>
      <c r="Z12" s="20"/>
      <c r="AA12" s="43"/>
      <c r="AB12" s="21"/>
      <c r="AC12" s="21"/>
      <c r="AG12" s="21"/>
      <c r="AI12" s="20"/>
    </row>
    <row r="13" spans="1:35" x14ac:dyDescent="0.25">
      <c r="A13" t="s">
        <v>46</v>
      </c>
      <c r="B13" t="s">
        <v>47</v>
      </c>
      <c r="C13" s="1">
        <v>1866</v>
      </c>
      <c r="D13" s="1">
        <v>1140.5</v>
      </c>
      <c r="E13" s="1">
        <v>1069</v>
      </c>
      <c r="F13" s="1">
        <v>1226.5</v>
      </c>
      <c r="G13" s="1">
        <v>1562.5</v>
      </c>
      <c r="H13" s="1">
        <v>1574</v>
      </c>
      <c r="I13" s="1">
        <v>1639</v>
      </c>
      <c r="J13" s="1">
        <v>1741.5</v>
      </c>
      <c r="K13" s="1">
        <v>2214</v>
      </c>
      <c r="L13" s="1">
        <v>1919</v>
      </c>
      <c r="M13" s="1">
        <v>1802.5</v>
      </c>
      <c r="N13" s="1">
        <v>1558</v>
      </c>
      <c r="O13" s="58">
        <v>1608</v>
      </c>
      <c r="P13" s="58">
        <v>1581.5</v>
      </c>
      <c r="Q13" s="58">
        <v>1667</v>
      </c>
      <c r="R13" s="58">
        <v>1565</v>
      </c>
      <c r="S13" s="2">
        <f t="shared" si="0"/>
        <v>25734</v>
      </c>
      <c r="T13" s="48"/>
      <c r="U13" s="20">
        <f t="shared" si="11"/>
        <v>1608.375</v>
      </c>
      <c r="V13" s="20">
        <f t="shared" si="1"/>
        <v>1724.9821875</v>
      </c>
      <c r="W13" s="33">
        <f>+VLOOKUP(A13,'INVENTARIO ACTUAL'!$A$2:$E$40,5,FALSE)</f>
        <v>389</v>
      </c>
      <c r="X13" s="20">
        <f t="shared" si="5"/>
        <v>431.245546875</v>
      </c>
      <c r="Y13" s="20">
        <f t="shared" si="9"/>
        <v>-42.245546875000002</v>
      </c>
      <c r="Z13" s="20">
        <f t="shared" si="6"/>
        <v>-16898.21875</v>
      </c>
      <c r="AA13" s="43"/>
      <c r="AB13" s="21">
        <f t="shared" si="2"/>
        <v>86.249109375000003</v>
      </c>
      <c r="AC13" s="21">
        <v>400</v>
      </c>
      <c r="AD13" s="22">
        <f t="shared" si="3"/>
        <v>689992.875</v>
      </c>
      <c r="AE13" s="22">
        <f t="shared" si="7"/>
        <v>34499.643750000003</v>
      </c>
      <c r="AF13">
        <v>1.9E-2</v>
      </c>
      <c r="AG13" s="21">
        <f t="shared" si="8"/>
        <v>655.49323125000001</v>
      </c>
      <c r="AI13" s="20">
        <f t="shared" si="10"/>
        <v>-321.06615625000001</v>
      </c>
    </row>
    <row r="14" spans="1:35" x14ac:dyDescent="0.25">
      <c r="A14" t="s">
        <v>48</v>
      </c>
      <c r="B14" t="s">
        <v>49</v>
      </c>
      <c r="C14" s="1">
        <v>2262</v>
      </c>
      <c r="D14" s="1">
        <v>1771.5</v>
      </c>
      <c r="E14" s="1">
        <v>2323</v>
      </c>
      <c r="F14" s="1">
        <v>2068</v>
      </c>
      <c r="G14" s="1">
        <v>2157.5</v>
      </c>
      <c r="H14" s="1">
        <v>1886.5</v>
      </c>
      <c r="I14" s="1">
        <v>1744.5</v>
      </c>
      <c r="J14" s="1">
        <v>1671</v>
      </c>
      <c r="K14" s="1">
        <v>2083</v>
      </c>
      <c r="L14" s="1">
        <v>764.5</v>
      </c>
      <c r="M14" s="1">
        <v>1290</v>
      </c>
      <c r="N14" s="1">
        <v>1546</v>
      </c>
      <c r="O14" s="58">
        <v>2114.5</v>
      </c>
      <c r="P14" s="58">
        <v>2003.5</v>
      </c>
      <c r="Q14" s="58">
        <v>2435.5</v>
      </c>
      <c r="R14" s="58">
        <v>1887</v>
      </c>
      <c r="S14" s="2">
        <f t="shared" si="0"/>
        <v>30008</v>
      </c>
      <c r="T14" s="48"/>
      <c r="U14" s="20">
        <f t="shared" si="11"/>
        <v>1875.5</v>
      </c>
      <c r="V14" s="20">
        <f t="shared" si="1"/>
        <v>2011.4737500000001</v>
      </c>
      <c r="W14" s="33">
        <f>+VLOOKUP(A14,'INVENTARIO ACTUAL'!$A$2:$E$40,5,FALSE)</f>
        <v>650.5</v>
      </c>
      <c r="X14" s="20">
        <f t="shared" si="5"/>
        <v>502.86843750000003</v>
      </c>
      <c r="Y14" s="20">
        <f t="shared" si="9"/>
        <v>147.63156249999997</v>
      </c>
      <c r="Z14" s="20">
        <f t="shared" si="6"/>
        <v>59052.624999999985</v>
      </c>
      <c r="AA14" s="43"/>
      <c r="AB14" s="21">
        <f t="shared" si="2"/>
        <v>100.57368750000001</v>
      </c>
      <c r="AC14" s="21">
        <v>400</v>
      </c>
      <c r="AD14" s="22">
        <f t="shared" si="3"/>
        <v>804589.5</v>
      </c>
      <c r="AE14" s="22">
        <f t="shared" si="7"/>
        <v>40229.474999999999</v>
      </c>
      <c r="AF14">
        <v>1.9E-2</v>
      </c>
      <c r="AG14" s="21">
        <f t="shared" si="8"/>
        <v>764.36002499999995</v>
      </c>
      <c r="AI14" s="20">
        <f t="shared" si="10"/>
        <v>0</v>
      </c>
    </row>
    <row r="15" spans="1:35" x14ac:dyDescent="0.25">
      <c r="A15" t="s">
        <v>98</v>
      </c>
      <c r="B15" t="s">
        <v>99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1214</v>
      </c>
      <c r="M15" s="1">
        <v>917</v>
      </c>
      <c r="N15" s="1">
        <v>136</v>
      </c>
      <c r="O15" s="58">
        <v>257</v>
      </c>
      <c r="P15" s="58">
        <v>242</v>
      </c>
      <c r="Q15" s="58">
        <v>241</v>
      </c>
      <c r="R15" s="58">
        <v>350</v>
      </c>
      <c r="S15" s="2">
        <f t="shared" si="0"/>
        <v>3357</v>
      </c>
      <c r="T15" s="48"/>
      <c r="U15" s="20">
        <f t="shared" si="11"/>
        <v>209.8125</v>
      </c>
      <c r="V15" s="20">
        <f t="shared" si="1"/>
        <v>225.02390625000001</v>
      </c>
      <c r="W15" s="33">
        <f>+VLOOKUP(A15,'INVENTARIO ACTUAL'!$A$2:$E$40,5,FALSE)</f>
        <v>57</v>
      </c>
      <c r="X15" s="20">
        <f t="shared" si="5"/>
        <v>56.255976562500003</v>
      </c>
      <c r="Y15" s="20">
        <f t="shared" si="9"/>
        <v>0.74402343749999744</v>
      </c>
      <c r="Z15" s="20">
        <f t="shared" si="6"/>
        <v>327.37031249999887</v>
      </c>
      <c r="AA15" s="43"/>
      <c r="AB15" s="21">
        <f t="shared" si="2"/>
        <v>11.2511953125</v>
      </c>
      <c r="AC15" s="21">
        <v>440</v>
      </c>
      <c r="AD15" s="22">
        <f t="shared" si="3"/>
        <v>99010.518750000003</v>
      </c>
      <c r="AE15" s="22">
        <f t="shared" si="7"/>
        <v>4950.5259375000005</v>
      </c>
      <c r="AG15" s="21">
        <f t="shared" si="8"/>
        <v>0</v>
      </c>
      <c r="AI15" s="20">
        <f t="shared" si="10"/>
        <v>0</v>
      </c>
    </row>
    <row r="16" spans="1:35" x14ac:dyDescent="0.25">
      <c r="A16" t="s">
        <v>44</v>
      </c>
      <c r="B16" t="s">
        <v>45</v>
      </c>
      <c r="C16" s="1">
        <v>13</v>
      </c>
      <c r="D16" s="1">
        <v>9</v>
      </c>
      <c r="E16" s="1">
        <v>9</v>
      </c>
      <c r="F16" s="1">
        <v>6</v>
      </c>
      <c r="G16" s="1">
        <v>6</v>
      </c>
      <c r="H16" s="1">
        <v>8</v>
      </c>
      <c r="I16" s="1">
        <v>19</v>
      </c>
      <c r="J16" s="1">
        <v>19</v>
      </c>
      <c r="K16" s="1">
        <v>16</v>
      </c>
      <c r="L16" s="1">
        <v>17</v>
      </c>
      <c r="M16" s="1">
        <v>10</v>
      </c>
      <c r="N16" s="1">
        <v>14</v>
      </c>
      <c r="O16" s="58">
        <v>14</v>
      </c>
      <c r="P16" s="58">
        <v>5</v>
      </c>
      <c r="Q16" s="58">
        <v>6</v>
      </c>
      <c r="R16" s="58">
        <v>8</v>
      </c>
      <c r="S16" s="2">
        <f t="shared" si="0"/>
        <v>179</v>
      </c>
      <c r="T16" s="48"/>
      <c r="U16" s="20">
        <f t="shared" si="11"/>
        <v>11.1875</v>
      </c>
      <c r="V16" s="20">
        <f t="shared" si="1"/>
        <v>11.99859375</v>
      </c>
      <c r="W16" s="33">
        <f>+VLOOKUP(A16,'INVENTARIO ACTUAL'!$A$2:$E$40,5,FALSE)</f>
        <v>11</v>
      </c>
      <c r="X16" s="20">
        <f t="shared" si="5"/>
        <v>2.9996484374999999</v>
      </c>
      <c r="Y16" s="20">
        <f t="shared" si="9"/>
        <v>8.0003515625000006</v>
      </c>
      <c r="Z16" s="20">
        <f t="shared" si="6"/>
        <v>3200.140625</v>
      </c>
      <c r="AA16" s="43"/>
      <c r="AB16" s="21">
        <f t="shared" si="2"/>
        <v>0.59992968749999998</v>
      </c>
      <c r="AC16" s="21">
        <v>400</v>
      </c>
      <c r="AD16" s="22">
        <f t="shared" si="3"/>
        <v>4799.4375</v>
      </c>
      <c r="AE16" s="22">
        <f t="shared" si="7"/>
        <v>239.97187500000001</v>
      </c>
      <c r="AF16">
        <v>1.9E-2</v>
      </c>
      <c r="AG16" s="21">
        <f t="shared" si="8"/>
        <v>4.5594656250000005</v>
      </c>
      <c r="AI16" s="20">
        <f t="shared" si="10"/>
        <v>0</v>
      </c>
    </row>
    <row r="17" spans="1:38" x14ac:dyDescent="0.25">
      <c r="A17" t="s">
        <v>54</v>
      </c>
      <c r="B17" t="s">
        <v>55</v>
      </c>
      <c r="C17" s="1">
        <v>12</v>
      </c>
      <c r="D17" s="1">
        <v>5</v>
      </c>
      <c r="E17" s="1">
        <v>9</v>
      </c>
      <c r="F17" s="1">
        <v>4</v>
      </c>
      <c r="G17" s="1">
        <v>7</v>
      </c>
      <c r="H17" s="1">
        <v>6</v>
      </c>
      <c r="I17" s="1">
        <v>4</v>
      </c>
      <c r="J17" s="1">
        <v>9</v>
      </c>
      <c r="K17" s="1">
        <v>3</v>
      </c>
      <c r="L17" s="1">
        <v>0</v>
      </c>
      <c r="M17" s="1">
        <v>0</v>
      </c>
      <c r="N17" s="1">
        <v>0</v>
      </c>
      <c r="O17" s="58">
        <v>0</v>
      </c>
      <c r="P17" s="58"/>
      <c r="Q17" s="58"/>
      <c r="R17" s="58"/>
      <c r="S17" s="2">
        <f t="shared" si="0"/>
        <v>59</v>
      </c>
      <c r="T17" s="48"/>
      <c r="U17" s="20">
        <f t="shared" si="11"/>
        <v>4.5384615384615383</v>
      </c>
      <c r="V17" s="20">
        <f t="shared" si="1"/>
        <v>4.8674999999999997</v>
      </c>
      <c r="W17" s="33">
        <f>+VLOOKUP(A17,'INVENTARIO ACTUAL'!$A$2:$E$40,5,FALSE)</f>
        <v>3</v>
      </c>
      <c r="X17" s="20">
        <f t="shared" si="5"/>
        <v>1.2168749999999999</v>
      </c>
      <c r="Y17" s="20">
        <f t="shared" si="9"/>
        <v>1.7831250000000001</v>
      </c>
      <c r="Z17" s="20">
        <f t="shared" si="6"/>
        <v>713.25</v>
      </c>
      <c r="AA17" s="43"/>
      <c r="AB17" s="21">
        <f t="shared" si="2"/>
        <v>0.24337499999999998</v>
      </c>
      <c r="AC17" s="21">
        <v>400</v>
      </c>
      <c r="AD17" s="22">
        <f t="shared" si="3"/>
        <v>1947</v>
      </c>
      <c r="AE17" s="22">
        <f t="shared" si="7"/>
        <v>97.35</v>
      </c>
      <c r="AF17">
        <v>1.9E-2</v>
      </c>
      <c r="AG17" s="21">
        <f t="shared" si="8"/>
        <v>1.8496499999999998</v>
      </c>
      <c r="AI17" s="20">
        <f t="shared" si="10"/>
        <v>0</v>
      </c>
    </row>
    <row r="18" spans="1:38" x14ac:dyDescent="0.25">
      <c r="A18" t="s">
        <v>56</v>
      </c>
      <c r="B18" t="s">
        <v>57</v>
      </c>
      <c r="C18" s="1">
        <v>1289.5</v>
      </c>
      <c r="D18" s="1">
        <v>795</v>
      </c>
      <c r="E18" s="1">
        <v>909.5</v>
      </c>
      <c r="F18" s="1">
        <v>721</v>
      </c>
      <c r="G18" s="1">
        <v>1150</v>
      </c>
      <c r="H18" s="1">
        <v>1025.5</v>
      </c>
      <c r="I18" s="1">
        <v>1102</v>
      </c>
      <c r="J18" s="1">
        <v>1077.5</v>
      </c>
      <c r="K18" s="1">
        <v>1123.5</v>
      </c>
      <c r="L18" s="1">
        <v>1081</v>
      </c>
      <c r="M18" s="1">
        <v>888</v>
      </c>
      <c r="N18" s="1">
        <v>679.5</v>
      </c>
      <c r="O18" s="58">
        <v>827</v>
      </c>
      <c r="P18" s="58">
        <v>751</v>
      </c>
      <c r="Q18" s="58">
        <v>793</v>
      </c>
      <c r="R18" s="58">
        <v>761</v>
      </c>
      <c r="S18" s="2">
        <f t="shared" si="0"/>
        <v>14974</v>
      </c>
      <c r="T18" s="48"/>
      <c r="U18" s="20">
        <f t="shared" si="11"/>
        <v>935.875</v>
      </c>
      <c r="V18" s="20">
        <f t="shared" si="1"/>
        <v>1003.7259375</v>
      </c>
      <c r="W18" s="33">
        <f>+VLOOKUP(A18,'INVENTARIO ACTUAL'!$A$2:$E$40,5,FALSE)</f>
        <v>187.5</v>
      </c>
      <c r="X18" s="20">
        <f t="shared" si="5"/>
        <v>250.931484375</v>
      </c>
      <c r="Y18" s="20">
        <f t="shared" si="9"/>
        <v>-63.431484374999997</v>
      </c>
      <c r="Z18" s="20">
        <f t="shared" si="6"/>
        <v>-25372.59375</v>
      </c>
      <c r="AA18" s="43"/>
      <c r="AB18" s="21">
        <f t="shared" si="2"/>
        <v>50.186296874999996</v>
      </c>
      <c r="AC18" s="21">
        <v>400</v>
      </c>
      <c r="AD18" s="22">
        <f t="shared" si="3"/>
        <v>401490.375</v>
      </c>
      <c r="AE18" s="22">
        <f t="shared" si="7"/>
        <v>20074.518749999999</v>
      </c>
      <c r="AF18">
        <v>1.9E-2</v>
      </c>
      <c r="AG18" s="21">
        <f t="shared" si="8"/>
        <v>381.41585624999999</v>
      </c>
      <c r="AI18" s="20">
        <f t="shared" si="10"/>
        <v>-482.07928125000001</v>
      </c>
    </row>
    <row r="19" spans="1:38" x14ac:dyDescent="0.25">
      <c r="A19" t="s">
        <v>58</v>
      </c>
      <c r="B19" t="s">
        <v>59</v>
      </c>
      <c r="C19" s="1">
        <v>930</v>
      </c>
      <c r="D19" s="1">
        <v>697</v>
      </c>
      <c r="E19" s="1">
        <v>683</v>
      </c>
      <c r="F19" s="1">
        <v>677</v>
      </c>
      <c r="G19" s="1">
        <v>732.5</v>
      </c>
      <c r="H19" s="1">
        <v>649.5</v>
      </c>
      <c r="I19" s="1">
        <v>642.5</v>
      </c>
      <c r="J19" s="1">
        <v>646</v>
      </c>
      <c r="K19" s="1">
        <v>645.5</v>
      </c>
      <c r="L19" s="1">
        <v>606</v>
      </c>
      <c r="M19" s="1">
        <v>643</v>
      </c>
      <c r="N19" s="1">
        <v>521</v>
      </c>
      <c r="O19" s="58">
        <v>645.5</v>
      </c>
      <c r="P19" s="58">
        <v>594</v>
      </c>
      <c r="Q19" s="58">
        <v>707</v>
      </c>
      <c r="R19" s="58">
        <v>598.5</v>
      </c>
      <c r="S19" s="2">
        <f t="shared" si="0"/>
        <v>10618</v>
      </c>
      <c r="T19" s="48"/>
      <c r="U19" s="20">
        <f t="shared" si="11"/>
        <v>663.625</v>
      </c>
      <c r="V19" s="20">
        <f t="shared" si="1"/>
        <v>711.73781250000002</v>
      </c>
      <c r="W19" s="33">
        <f>+VLOOKUP(A19,'INVENTARIO ACTUAL'!$A$2:$E$40,5,FALSE)</f>
        <v>250</v>
      </c>
      <c r="X19" s="20">
        <f t="shared" si="5"/>
        <v>177.934453125</v>
      </c>
      <c r="Y19" s="20">
        <f t="shared" si="9"/>
        <v>72.065546874999995</v>
      </c>
      <c r="Z19" s="20">
        <f t="shared" si="6"/>
        <v>28826.21875</v>
      </c>
      <c r="AA19" s="43"/>
      <c r="AB19" s="21">
        <f t="shared" si="2"/>
        <v>35.586890625000002</v>
      </c>
      <c r="AC19" s="21">
        <v>400</v>
      </c>
      <c r="AD19" s="22">
        <f t="shared" si="3"/>
        <v>284695.125</v>
      </c>
      <c r="AE19" s="22">
        <f t="shared" si="7"/>
        <v>14234.75625</v>
      </c>
      <c r="AF19">
        <v>1.9E-2</v>
      </c>
      <c r="AG19" s="21">
        <f t="shared" si="8"/>
        <v>270.46036874999999</v>
      </c>
      <c r="AI19" s="20">
        <f t="shared" si="10"/>
        <v>0</v>
      </c>
    </row>
    <row r="20" spans="1:38" x14ac:dyDescent="0.25">
      <c r="A20" t="s">
        <v>60</v>
      </c>
      <c r="B20" t="s">
        <v>61</v>
      </c>
      <c r="C20" s="1">
        <v>547</v>
      </c>
      <c r="D20" s="1">
        <v>425.5</v>
      </c>
      <c r="E20" s="1">
        <v>363</v>
      </c>
      <c r="F20" s="1">
        <v>390</v>
      </c>
      <c r="G20" s="1">
        <v>587.5</v>
      </c>
      <c r="H20" s="1">
        <v>537.5</v>
      </c>
      <c r="I20" s="1">
        <v>644.5</v>
      </c>
      <c r="J20" s="1">
        <v>734.5</v>
      </c>
      <c r="K20" s="1">
        <v>618</v>
      </c>
      <c r="L20" s="1">
        <v>695.5</v>
      </c>
      <c r="M20" s="1">
        <v>496</v>
      </c>
      <c r="N20" s="1">
        <v>491</v>
      </c>
      <c r="O20" s="58">
        <v>460.5</v>
      </c>
      <c r="P20" s="58">
        <v>429.5</v>
      </c>
      <c r="Q20" s="58">
        <v>565</v>
      </c>
      <c r="R20" s="58">
        <v>488.5</v>
      </c>
      <c r="S20" s="2">
        <f t="shared" si="0"/>
        <v>8473.5</v>
      </c>
      <c r="T20" s="48"/>
      <c r="U20" s="20">
        <f t="shared" si="11"/>
        <v>529.59375</v>
      </c>
      <c r="V20" s="20">
        <f t="shared" si="1"/>
        <v>567.98929687500004</v>
      </c>
      <c r="W20" s="33">
        <f>+VLOOKUP(A20,'INVENTARIO ACTUAL'!$A$2:$E$40,5,FALSE)</f>
        <v>137</v>
      </c>
      <c r="X20" s="20">
        <f t="shared" si="5"/>
        <v>141.99732421875001</v>
      </c>
      <c r="Y20" s="20">
        <f t="shared" si="9"/>
        <v>-4.9973242187500091</v>
      </c>
      <c r="Z20" s="20">
        <f t="shared" si="6"/>
        <v>-1998.9296875000036</v>
      </c>
      <c r="AA20" s="43"/>
      <c r="AB20" s="21">
        <f t="shared" si="2"/>
        <v>28.399464843750003</v>
      </c>
      <c r="AC20" s="21">
        <v>400</v>
      </c>
      <c r="AD20" s="22">
        <f t="shared" si="3"/>
        <v>227195.71875</v>
      </c>
      <c r="AE20" s="22">
        <f t="shared" si="7"/>
        <v>11359.785937500001</v>
      </c>
      <c r="AF20">
        <v>1.9E-2</v>
      </c>
      <c r="AG20" s="21">
        <f t="shared" si="8"/>
        <v>215.8359328125</v>
      </c>
      <c r="AI20" s="20">
        <f t="shared" si="10"/>
        <v>-37.979664062500071</v>
      </c>
    </row>
    <row r="21" spans="1:38" x14ac:dyDescent="0.25">
      <c r="A21" t="s">
        <v>62</v>
      </c>
      <c r="B21" t="s">
        <v>63</v>
      </c>
      <c r="C21" s="1">
        <v>541.5</v>
      </c>
      <c r="D21" s="1">
        <v>469</v>
      </c>
      <c r="E21" s="1">
        <v>518</v>
      </c>
      <c r="F21" s="1">
        <v>521.5</v>
      </c>
      <c r="G21" s="1">
        <v>541</v>
      </c>
      <c r="H21" s="1">
        <v>533</v>
      </c>
      <c r="I21" s="1">
        <v>435.5</v>
      </c>
      <c r="J21" s="1">
        <v>442</v>
      </c>
      <c r="K21" s="1">
        <v>466.5</v>
      </c>
      <c r="L21" s="1">
        <v>475</v>
      </c>
      <c r="M21" s="1">
        <v>470</v>
      </c>
      <c r="N21" s="1">
        <v>399</v>
      </c>
      <c r="O21" s="58">
        <v>536.5</v>
      </c>
      <c r="P21" s="58">
        <v>476</v>
      </c>
      <c r="Q21" s="58">
        <v>593</v>
      </c>
      <c r="R21" s="58">
        <v>506</v>
      </c>
      <c r="S21" s="2">
        <f t="shared" si="0"/>
        <v>7923.5</v>
      </c>
      <c r="T21" s="48"/>
      <c r="U21" s="20">
        <f t="shared" si="11"/>
        <v>495.21875</v>
      </c>
      <c r="V21" s="20">
        <f t="shared" si="1"/>
        <v>531.12210937500004</v>
      </c>
      <c r="W21" s="33">
        <f>+VLOOKUP(A21,'INVENTARIO ACTUAL'!$A$2:$E$40,5,FALSE)</f>
        <v>162.5</v>
      </c>
      <c r="X21" s="20">
        <f t="shared" si="5"/>
        <v>132.78052734375001</v>
      </c>
      <c r="Y21" s="20">
        <f t="shared" si="9"/>
        <v>29.719472656249991</v>
      </c>
      <c r="Z21" s="20">
        <f t="shared" si="6"/>
        <v>11887.789062499996</v>
      </c>
      <c r="AA21" s="43"/>
      <c r="AB21" s="21">
        <f t="shared" si="2"/>
        <v>26.556105468750001</v>
      </c>
      <c r="AC21" s="21">
        <v>400</v>
      </c>
      <c r="AD21" s="22">
        <f t="shared" si="3"/>
        <v>212448.84375</v>
      </c>
      <c r="AE21" s="22">
        <f t="shared" si="7"/>
        <v>10622.442187500001</v>
      </c>
      <c r="AF21">
        <v>1.9E-2</v>
      </c>
      <c r="AG21" s="21">
        <f t="shared" si="8"/>
        <v>201.8264015625</v>
      </c>
      <c r="AI21" s="20">
        <f t="shared" si="10"/>
        <v>0</v>
      </c>
    </row>
    <row r="22" spans="1:38" x14ac:dyDescent="0.25">
      <c r="A22" s="16"/>
      <c r="B22" s="1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58"/>
      <c r="P22" s="58"/>
      <c r="Q22" s="58"/>
      <c r="R22" s="58"/>
      <c r="S22" s="2">
        <f t="shared" si="0"/>
        <v>0</v>
      </c>
      <c r="T22" s="48"/>
      <c r="U22" s="20">
        <v>0</v>
      </c>
      <c r="V22" s="20"/>
      <c r="W22" s="33"/>
      <c r="X22" s="20"/>
      <c r="Y22" s="20"/>
      <c r="Z22" s="20"/>
      <c r="AA22" s="43"/>
      <c r="AB22" s="21"/>
      <c r="AC22" s="21"/>
      <c r="AE22" s="22">
        <f t="shared" si="7"/>
        <v>0</v>
      </c>
      <c r="AG22" s="21">
        <f t="shared" si="8"/>
        <v>0</v>
      </c>
      <c r="AI22" s="20">
        <f t="shared" si="10"/>
        <v>0</v>
      </c>
      <c r="AK22" s="51"/>
      <c r="AL22" s="1"/>
    </row>
    <row r="23" spans="1:38" x14ac:dyDescent="0.25">
      <c r="A23" t="s">
        <v>14</v>
      </c>
      <c r="B23" t="s">
        <v>15</v>
      </c>
      <c r="C23" s="1">
        <v>475</v>
      </c>
      <c r="D23" s="1">
        <v>403</v>
      </c>
      <c r="E23" s="1">
        <v>516</v>
      </c>
      <c r="F23" s="1">
        <v>489</v>
      </c>
      <c r="G23" s="1">
        <v>418</v>
      </c>
      <c r="H23" s="1">
        <v>434</v>
      </c>
      <c r="I23" s="1">
        <v>493</v>
      </c>
      <c r="J23" s="1">
        <v>547</v>
      </c>
      <c r="K23" s="1">
        <v>502</v>
      </c>
      <c r="L23" s="1">
        <v>455</v>
      </c>
      <c r="M23" s="1">
        <v>505</v>
      </c>
      <c r="N23" s="1">
        <v>343</v>
      </c>
      <c r="O23" s="58">
        <v>572</v>
      </c>
      <c r="P23" s="58">
        <v>426</v>
      </c>
      <c r="Q23" s="58">
        <v>533</v>
      </c>
      <c r="R23" s="58">
        <v>511</v>
      </c>
      <c r="S23" s="2">
        <f t="shared" si="0"/>
        <v>7622</v>
      </c>
      <c r="T23" s="48"/>
      <c r="U23" s="20">
        <f t="shared" si="11"/>
        <v>476.375</v>
      </c>
      <c r="V23" s="20">
        <f t="shared" ref="V23:V35" si="14">+U23*$V$47+U23</f>
        <v>510.91218750000002</v>
      </c>
      <c r="W23" s="33">
        <f>+VLOOKUP(A23,'INVENTARIO ACTUAL'!$A$2:$E$40,5,FALSE)</f>
        <v>135</v>
      </c>
      <c r="X23" s="20">
        <f t="shared" si="5"/>
        <v>127.728046875</v>
      </c>
      <c r="Y23" s="20">
        <f t="shared" si="9"/>
        <v>7.271953124999996</v>
      </c>
      <c r="Z23" s="20">
        <f t="shared" si="6"/>
        <v>261.79031249999986</v>
      </c>
      <c r="AA23" s="43"/>
      <c r="AB23" s="21">
        <f t="shared" ref="AB23:AB35" si="15">+V23/20</f>
        <v>25.545609375000002</v>
      </c>
      <c r="AC23" s="21">
        <v>36</v>
      </c>
      <c r="AD23" s="22">
        <f t="shared" ref="AD23:AD35" si="16">+V23*AC23</f>
        <v>18392.838749999999</v>
      </c>
      <c r="AE23" s="22">
        <f t="shared" si="7"/>
        <v>919.64193749999993</v>
      </c>
      <c r="AF23">
        <v>0.12</v>
      </c>
      <c r="AG23" s="21">
        <f t="shared" si="8"/>
        <v>110.35703249999999</v>
      </c>
      <c r="AI23" s="20">
        <f t="shared" si="10"/>
        <v>0</v>
      </c>
    </row>
    <row r="24" spans="1:38" x14ac:dyDescent="0.25">
      <c r="A24" t="s">
        <v>16</v>
      </c>
      <c r="B24" t="s">
        <v>17</v>
      </c>
      <c r="C24" s="1">
        <v>877</v>
      </c>
      <c r="D24" s="1">
        <v>666</v>
      </c>
      <c r="E24" s="1">
        <v>808</v>
      </c>
      <c r="F24" s="1">
        <v>799</v>
      </c>
      <c r="G24" s="1">
        <v>996</v>
      </c>
      <c r="H24" s="1">
        <v>743</v>
      </c>
      <c r="I24" s="1">
        <v>964</v>
      </c>
      <c r="J24" s="1">
        <v>754</v>
      </c>
      <c r="K24" s="1">
        <v>860</v>
      </c>
      <c r="L24" s="1">
        <v>1214</v>
      </c>
      <c r="M24" s="1">
        <v>995</v>
      </c>
      <c r="N24" s="1">
        <v>583</v>
      </c>
      <c r="O24" s="58">
        <v>818</v>
      </c>
      <c r="P24" s="58">
        <v>1001</v>
      </c>
      <c r="Q24" s="58">
        <v>1234</v>
      </c>
      <c r="R24" s="58">
        <v>741</v>
      </c>
      <c r="S24" s="2">
        <f t="shared" si="0"/>
        <v>14053</v>
      </c>
      <c r="T24" s="48"/>
      <c r="U24" s="20">
        <f t="shared" si="11"/>
        <v>878.3125</v>
      </c>
      <c r="V24" s="20">
        <f t="shared" si="14"/>
        <v>941.99015625000004</v>
      </c>
      <c r="W24" s="33">
        <f>+VLOOKUP(A24,'INVENTARIO ACTUAL'!$A$2:$E$40,5,FALSE)</f>
        <v>157</v>
      </c>
      <c r="X24" s="20">
        <f t="shared" si="5"/>
        <v>235.49753906250001</v>
      </c>
      <c r="Y24" s="20">
        <f t="shared" si="9"/>
        <v>-78.49753906250001</v>
      </c>
      <c r="Z24" s="20">
        <f t="shared" si="6"/>
        <v>-2825.9114062500003</v>
      </c>
      <c r="AA24" s="43"/>
      <c r="AB24" s="21">
        <f t="shared" si="15"/>
        <v>47.099507812500001</v>
      </c>
      <c r="AC24" s="21">
        <v>36</v>
      </c>
      <c r="AD24" s="22">
        <f t="shared" si="16"/>
        <v>33911.645625000005</v>
      </c>
      <c r="AE24" s="22">
        <f t="shared" si="7"/>
        <v>1695.5822812500003</v>
      </c>
      <c r="AF24">
        <v>0.12</v>
      </c>
      <c r="AG24" s="21">
        <f t="shared" si="8"/>
        <v>203.46987375000003</v>
      </c>
      <c r="AI24" s="20">
        <f t="shared" si="10"/>
        <v>-339.10936875000004</v>
      </c>
    </row>
    <row r="25" spans="1:38" x14ac:dyDescent="0.25">
      <c r="A25" t="s">
        <v>22</v>
      </c>
      <c r="B25" t="s">
        <v>23</v>
      </c>
      <c r="C25" s="1">
        <v>74</v>
      </c>
      <c r="D25" s="1">
        <v>83</v>
      </c>
      <c r="E25" s="1">
        <v>96</v>
      </c>
      <c r="F25" s="1">
        <v>93</v>
      </c>
      <c r="G25" s="1">
        <v>71</v>
      </c>
      <c r="H25" s="1">
        <v>90</v>
      </c>
      <c r="I25" s="1">
        <v>101</v>
      </c>
      <c r="J25" s="1">
        <v>94</v>
      </c>
      <c r="K25" s="1">
        <v>108</v>
      </c>
      <c r="L25" s="1">
        <v>87</v>
      </c>
      <c r="M25" s="1">
        <v>103</v>
      </c>
      <c r="N25" s="1">
        <v>57</v>
      </c>
      <c r="O25" s="58">
        <v>137</v>
      </c>
      <c r="P25" s="58">
        <v>82</v>
      </c>
      <c r="Q25" s="58">
        <v>147</v>
      </c>
      <c r="R25" s="58">
        <v>106</v>
      </c>
      <c r="S25" s="2">
        <f t="shared" si="0"/>
        <v>1529</v>
      </c>
      <c r="T25" s="48"/>
      <c r="U25" s="20">
        <f t="shared" si="11"/>
        <v>95.5625</v>
      </c>
      <c r="V25" s="20">
        <f t="shared" si="14"/>
        <v>102.49078125</v>
      </c>
      <c r="W25" s="33">
        <f>+VLOOKUP(A25,'INVENTARIO ACTUAL'!$A$2:$E$40,5,FALSE)</f>
        <v>45</v>
      </c>
      <c r="X25" s="20">
        <f t="shared" si="5"/>
        <v>25.622695312499999</v>
      </c>
      <c r="Y25" s="20">
        <f t="shared" si="9"/>
        <v>19.377304687500001</v>
      </c>
      <c r="Z25" s="20">
        <f t="shared" si="6"/>
        <v>697.58296874999996</v>
      </c>
      <c r="AA25" s="43"/>
      <c r="AB25" s="21">
        <f t="shared" si="15"/>
        <v>5.1245390625000002</v>
      </c>
      <c r="AC25" s="21">
        <v>36</v>
      </c>
      <c r="AD25" s="22">
        <f t="shared" si="16"/>
        <v>3689.6681250000001</v>
      </c>
      <c r="AE25" s="22">
        <f t="shared" si="7"/>
        <v>184.48340625</v>
      </c>
      <c r="AF25">
        <v>0.12</v>
      </c>
      <c r="AG25" s="21">
        <f t="shared" si="8"/>
        <v>22.138008750000001</v>
      </c>
      <c r="AI25" s="20">
        <f t="shared" si="10"/>
        <v>0</v>
      </c>
    </row>
    <row r="26" spans="1:38" x14ac:dyDescent="0.25">
      <c r="A26" t="s">
        <v>24</v>
      </c>
      <c r="B26" t="s">
        <v>25</v>
      </c>
      <c r="C26" s="1">
        <v>41</v>
      </c>
      <c r="D26" s="1">
        <v>61</v>
      </c>
      <c r="E26" s="1">
        <v>91</v>
      </c>
      <c r="F26" s="1">
        <v>57</v>
      </c>
      <c r="G26" s="1">
        <v>13</v>
      </c>
      <c r="H26" s="1">
        <v>225</v>
      </c>
      <c r="I26" s="1">
        <v>12</v>
      </c>
      <c r="J26" s="1">
        <v>17</v>
      </c>
      <c r="K26" s="1">
        <v>11</v>
      </c>
      <c r="L26" s="1">
        <v>55</v>
      </c>
      <c r="M26" s="1">
        <v>54</v>
      </c>
      <c r="N26" s="1">
        <v>15</v>
      </c>
      <c r="O26" s="58">
        <v>60</v>
      </c>
      <c r="P26" s="58">
        <v>35</v>
      </c>
      <c r="Q26" s="58">
        <v>45</v>
      </c>
      <c r="R26" s="58">
        <v>35</v>
      </c>
      <c r="S26" s="2">
        <f t="shared" si="0"/>
        <v>827</v>
      </c>
      <c r="T26" s="48"/>
      <c r="U26" s="20">
        <f t="shared" si="11"/>
        <v>51.6875</v>
      </c>
      <c r="V26" s="20">
        <f t="shared" si="14"/>
        <v>55.434843749999999</v>
      </c>
      <c r="W26" s="33">
        <f>+VLOOKUP(A26,'INVENTARIO ACTUAL'!$A$2:$E$40,5,FALSE)</f>
        <v>0</v>
      </c>
      <c r="X26" s="20">
        <f>+V26/4</f>
        <v>13.8587109375</v>
      </c>
      <c r="Y26" s="20">
        <f>+W26-X26</f>
        <v>-13.8587109375</v>
      </c>
      <c r="Z26" s="20">
        <f t="shared" si="6"/>
        <v>-498.91359375000002</v>
      </c>
      <c r="AA26" s="43"/>
      <c r="AB26" s="21">
        <f t="shared" si="15"/>
        <v>2.7717421875000001</v>
      </c>
      <c r="AC26" s="21">
        <v>36</v>
      </c>
      <c r="AD26" s="22">
        <f t="shared" si="16"/>
        <v>1995.6543750000001</v>
      </c>
      <c r="AE26" s="22">
        <f t="shared" si="7"/>
        <v>99.782718750000001</v>
      </c>
      <c r="AF26">
        <v>0.12</v>
      </c>
      <c r="AG26" s="21">
        <f t="shared" si="8"/>
        <v>11.97392625</v>
      </c>
      <c r="AI26" s="20">
        <f t="shared" si="10"/>
        <v>-59.869631249999998</v>
      </c>
    </row>
    <row r="27" spans="1:38" x14ac:dyDescent="0.25">
      <c r="A27" t="s">
        <v>30</v>
      </c>
      <c r="B27" t="s">
        <v>31</v>
      </c>
      <c r="C27" s="1">
        <v>54</v>
      </c>
      <c r="D27" s="1">
        <v>29</v>
      </c>
      <c r="E27" s="1">
        <v>43</v>
      </c>
      <c r="F27" s="1">
        <v>37</v>
      </c>
      <c r="G27" s="1">
        <v>56</v>
      </c>
      <c r="H27" s="1">
        <v>24</v>
      </c>
      <c r="I27" s="1">
        <v>39</v>
      </c>
      <c r="J27" s="1">
        <v>41</v>
      </c>
      <c r="K27" s="1">
        <v>55</v>
      </c>
      <c r="L27" s="1">
        <v>15</v>
      </c>
      <c r="M27" s="1">
        <v>28</v>
      </c>
      <c r="N27" s="1">
        <v>18</v>
      </c>
      <c r="O27" s="58">
        <v>40</v>
      </c>
      <c r="P27" s="58">
        <v>30</v>
      </c>
      <c r="Q27" s="58">
        <v>24</v>
      </c>
      <c r="R27" s="58">
        <v>46</v>
      </c>
      <c r="S27" s="2">
        <f t="shared" si="0"/>
        <v>579</v>
      </c>
      <c r="T27" s="48"/>
      <c r="U27" s="20">
        <f t="shared" si="11"/>
        <v>36.1875</v>
      </c>
      <c r="V27" s="20">
        <f t="shared" si="14"/>
        <v>38.811093749999998</v>
      </c>
      <c r="W27" s="33">
        <f>+VLOOKUP(A27,'INVENTARIO ACTUAL'!$A$2:$E$40,5,FALSE)</f>
        <v>47</v>
      </c>
      <c r="X27" s="20">
        <f t="shared" si="5"/>
        <v>9.7027734374999994</v>
      </c>
      <c r="Y27" s="20">
        <f t="shared" si="9"/>
        <v>37.297226562500001</v>
      </c>
      <c r="Z27" s="20">
        <f t="shared" si="6"/>
        <v>1342.70015625</v>
      </c>
      <c r="AA27" s="43"/>
      <c r="AB27" s="21">
        <f t="shared" si="15"/>
        <v>1.9405546874999999</v>
      </c>
      <c r="AC27" s="21">
        <v>36</v>
      </c>
      <c r="AD27" s="22">
        <f t="shared" si="16"/>
        <v>1397.1993749999999</v>
      </c>
      <c r="AE27" s="22">
        <f t="shared" si="7"/>
        <v>69.859968749999993</v>
      </c>
      <c r="AF27">
        <v>0.12</v>
      </c>
      <c r="AG27" s="21">
        <f t="shared" si="8"/>
        <v>8.3831962499999992</v>
      </c>
      <c r="AI27" s="20">
        <f t="shared" si="10"/>
        <v>0</v>
      </c>
    </row>
    <row r="28" spans="1:38" x14ac:dyDescent="0.25">
      <c r="A28" t="s">
        <v>32</v>
      </c>
      <c r="B28" t="s">
        <v>33</v>
      </c>
      <c r="C28" s="1">
        <v>46</v>
      </c>
      <c r="D28" s="1">
        <v>49</v>
      </c>
      <c r="E28" s="1">
        <v>51</v>
      </c>
      <c r="F28" s="1">
        <v>45</v>
      </c>
      <c r="G28" s="1">
        <v>39</v>
      </c>
      <c r="H28" s="1">
        <v>43</v>
      </c>
      <c r="I28" s="1">
        <v>46</v>
      </c>
      <c r="J28" s="1">
        <v>52</v>
      </c>
      <c r="K28" s="1">
        <v>32</v>
      </c>
      <c r="L28" s="1">
        <v>41</v>
      </c>
      <c r="M28" s="1">
        <v>26</v>
      </c>
      <c r="N28" s="1">
        <v>0</v>
      </c>
      <c r="O28" s="58">
        <v>0</v>
      </c>
      <c r="P28" s="58"/>
      <c r="Q28" s="58"/>
      <c r="R28" s="58"/>
      <c r="S28" s="2">
        <f t="shared" si="0"/>
        <v>470</v>
      </c>
      <c r="T28" s="48"/>
      <c r="U28" s="20">
        <f t="shared" si="11"/>
        <v>36.153846153846153</v>
      </c>
      <c r="V28" s="20">
        <f t="shared" si="14"/>
        <v>38.774999999999999</v>
      </c>
      <c r="W28" s="33">
        <f>+VLOOKUP(A28,'INVENTARIO ACTUAL'!$A$2:$E$40,5,FALSE)</f>
        <v>0</v>
      </c>
      <c r="X28" s="20">
        <f t="shared" si="5"/>
        <v>9.6937499999999996</v>
      </c>
      <c r="Y28" s="20">
        <f t="shared" si="9"/>
        <v>-9.6937499999999996</v>
      </c>
      <c r="Z28" s="20">
        <f t="shared" si="6"/>
        <v>-348.97499999999997</v>
      </c>
      <c r="AA28" s="43"/>
      <c r="AB28" s="21">
        <f t="shared" si="15"/>
        <v>1.93875</v>
      </c>
      <c r="AC28" s="21">
        <v>36</v>
      </c>
      <c r="AD28" s="22">
        <f t="shared" si="16"/>
        <v>1395.8999999999999</v>
      </c>
      <c r="AE28" s="22">
        <f t="shared" si="7"/>
        <v>69.794999999999987</v>
      </c>
      <c r="AF28">
        <v>0.12</v>
      </c>
      <c r="AG28" s="21">
        <f t="shared" si="8"/>
        <v>8.3753999999999991</v>
      </c>
      <c r="AI28" s="20">
        <f t="shared" si="10"/>
        <v>-41.876999999999995</v>
      </c>
    </row>
    <row r="29" spans="1:38" x14ac:dyDescent="0.25">
      <c r="A29" t="s">
        <v>40</v>
      </c>
      <c r="B29" t="s">
        <v>41</v>
      </c>
      <c r="C29" s="1">
        <v>710</v>
      </c>
      <c r="D29" s="1">
        <v>593</v>
      </c>
      <c r="E29" s="1">
        <v>684</v>
      </c>
      <c r="F29" s="1">
        <v>675</v>
      </c>
      <c r="G29" s="1">
        <v>591</v>
      </c>
      <c r="H29" s="1">
        <v>583</v>
      </c>
      <c r="I29" s="1">
        <v>663</v>
      </c>
      <c r="J29" s="1">
        <v>732</v>
      </c>
      <c r="K29" s="1">
        <v>641</v>
      </c>
      <c r="L29" s="1">
        <v>529</v>
      </c>
      <c r="M29" s="1">
        <v>574</v>
      </c>
      <c r="N29" s="1">
        <v>467</v>
      </c>
      <c r="O29" s="58">
        <v>733</v>
      </c>
      <c r="P29" s="58">
        <v>587</v>
      </c>
      <c r="Q29" s="58">
        <v>724</v>
      </c>
      <c r="R29" s="58">
        <v>686</v>
      </c>
      <c r="S29" s="2">
        <f t="shared" si="0"/>
        <v>10172</v>
      </c>
      <c r="T29" s="48"/>
      <c r="U29" s="20">
        <f t="shared" si="11"/>
        <v>635.75</v>
      </c>
      <c r="V29" s="20">
        <f t="shared" si="14"/>
        <v>681.84187499999996</v>
      </c>
      <c r="W29" s="33">
        <f>+VLOOKUP(A29,'INVENTARIO ACTUAL'!$A$2:$E$40,5,FALSE)</f>
        <v>189</v>
      </c>
      <c r="X29" s="20">
        <f t="shared" si="5"/>
        <v>170.46046874999999</v>
      </c>
      <c r="Y29" s="20">
        <f t="shared" si="9"/>
        <v>18.53953125000001</v>
      </c>
      <c r="Z29" s="20">
        <f t="shared" si="6"/>
        <v>667.42312500000037</v>
      </c>
      <c r="AA29" s="43"/>
      <c r="AB29" s="21">
        <f t="shared" si="15"/>
        <v>34.092093749999997</v>
      </c>
      <c r="AC29" s="21">
        <v>36</v>
      </c>
      <c r="AD29" s="22">
        <f t="shared" si="16"/>
        <v>24546.307499999999</v>
      </c>
      <c r="AE29" s="22">
        <f t="shared" si="7"/>
        <v>1227.3153749999999</v>
      </c>
      <c r="AF29">
        <v>0.12</v>
      </c>
      <c r="AG29" s="21">
        <f t="shared" si="8"/>
        <v>147.27784499999999</v>
      </c>
      <c r="AI29" s="20">
        <f t="shared" si="10"/>
        <v>0</v>
      </c>
    </row>
    <row r="30" spans="1:38" x14ac:dyDescent="0.25">
      <c r="A30" t="s">
        <v>42</v>
      </c>
      <c r="B30" t="s">
        <v>43</v>
      </c>
      <c r="C30" s="1">
        <v>1079</v>
      </c>
      <c r="D30" s="1">
        <v>362</v>
      </c>
      <c r="E30" s="1">
        <v>483</v>
      </c>
      <c r="F30" s="1">
        <v>586</v>
      </c>
      <c r="G30" s="1">
        <v>916</v>
      </c>
      <c r="H30" s="1">
        <v>404</v>
      </c>
      <c r="I30" s="1">
        <v>708</v>
      </c>
      <c r="J30" s="1">
        <v>605</v>
      </c>
      <c r="K30" s="1">
        <v>582</v>
      </c>
      <c r="L30" s="1">
        <v>1242</v>
      </c>
      <c r="M30" s="1">
        <v>582</v>
      </c>
      <c r="N30" s="1">
        <v>370</v>
      </c>
      <c r="O30" s="58">
        <v>552</v>
      </c>
      <c r="P30" s="58">
        <v>738</v>
      </c>
      <c r="Q30" s="58">
        <v>1042</v>
      </c>
      <c r="R30" s="58">
        <v>626</v>
      </c>
      <c r="S30" s="2">
        <f t="shared" si="0"/>
        <v>10877</v>
      </c>
      <c r="T30" s="48"/>
      <c r="U30" s="20">
        <f t="shared" si="11"/>
        <v>679.8125</v>
      </c>
      <c r="V30" s="20">
        <f t="shared" si="14"/>
        <v>729.09890625000003</v>
      </c>
      <c r="W30" s="33">
        <f>+VLOOKUP(A30,'INVENTARIO ACTUAL'!$A$2:$E$40,5,FALSE)</f>
        <v>206</v>
      </c>
      <c r="X30" s="20">
        <f t="shared" si="5"/>
        <v>182.27472656250001</v>
      </c>
      <c r="Y30" s="20">
        <f t="shared" si="9"/>
        <v>23.725273437499993</v>
      </c>
      <c r="Z30" s="20">
        <f t="shared" si="6"/>
        <v>854.10984374999975</v>
      </c>
      <c r="AA30" s="43"/>
      <c r="AB30" s="21">
        <f t="shared" si="15"/>
        <v>36.454945312500001</v>
      </c>
      <c r="AC30" s="21">
        <v>36</v>
      </c>
      <c r="AD30" s="22">
        <f t="shared" si="16"/>
        <v>26247.560625000002</v>
      </c>
      <c r="AE30" s="22">
        <f t="shared" si="7"/>
        <v>1312.37803125</v>
      </c>
      <c r="AF30">
        <v>0.12</v>
      </c>
      <c r="AG30" s="21">
        <f t="shared" si="8"/>
        <v>157.48536375</v>
      </c>
      <c r="AI30" s="20">
        <f t="shared" si="10"/>
        <v>0</v>
      </c>
    </row>
    <row r="31" spans="1:38" x14ac:dyDescent="0.25">
      <c r="A31" t="s">
        <v>50</v>
      </c>
      <c r="B31" t="s">
        <v>51</v>
      </c>
      <c r="C31" s="1">
        <v>361</v>
      </c>
      <c r="D31" s="1">
        <v>266</v>
      </c>
      <c r="E31" s="1">
        <v>336</v>
      </c>
      <c r="F31" s="1">
        <v>314</v>
      </c>
      <c r="G31" s="1">
        <v>308</v>
      </c>
      <c r="H31" s="1">
        <v>350</v>
      </c>
      <c r="I31" s="1">
        <v>302</v>
      </c>
      <c r="J31" s="1">
        <v>359</v>
      </c>
      <c r="K31" s="1">
        <v>338</v>
      </c>
      <c r="L31" s="1">
        <v>311</v>
      </c>
      <c r="M31" s="1">
        <v>300</v>
      </c>
      <c r="N31" s="1">
        <v>233</v>
      </c>
      <c r="O31" s="58">
        <v>438</v>
      </c>
      <c r="P31" s="58">
        <v>323</v>
      </c>
      <c r="Q31" s="58">
        <v>505</v>
      </c>
      <c r="R31" s="58">
        <v>487</v>
      </c>
      <c r="S31" s="2">
        <f t="shared" si="0"/>
        <v>5531</v>
      </c>
      <c r="T31" s="48"/>
      <c r="U31" s="20">
        <f t="shared" si="11"/>
        <v>345.6875</v>
      </c>
      <c r="V31" s="20">
        <f t="shared" si="14"/>
        <v>370.74984374999997</v>
      </c>
      <c r="W31" s="33">
        <f>+VLOOKUP(A31,'INVENTARIO ACTUAL'!$A$2:$E$40,5,FALSE)</f>
        <v>92</v>
      </c>
      <c r="X31" s="20">
        <f t="shared" si="5"/>
        <v>92.687460937499992</v>
      </c>
      <c r="Y31" s="20">
        <f t="shared" si="9"/>
        <v>-0.68746093749999204</v>
      </c>
      <c r="Z31" s="20">
        <f t="shared" si="6"/>
        <v>-24.748593749999714</v>
      </c>
      <c r="AA31" s="43"/>
      <c r="AB31" s="21">
        <f t="shared" si="15"/>
        <v>18.5374921875</v>
      </c>
      <c r="AC31" s="21">
        <v>36</v>
      </c>
      <c r="AD31" s="22">
        <f t="shared" si="16"/>
        <v>13346.994374999998</v>
      </c>
      <c r="AE31" s="22">
        <f t="shared" si="7"/>
        <v>667.34971874999997</v>
      </c>
      <c r="AF31">
        <v>0.12</v>
      </c>
      <c r="AG31" s="21">
        <f t="shared" si="8"/>
        <v>80.081966249999994</v>
      </c>
      <c r="AI31" s="20">
        <f t="shared" si="10"/>
        <v>-2.9698312499999657</v>
      </c>
    </row>
    <row r="32" spans="1:38" x14ac:dyDescent="0.25">
      <c r="A32" t="s">
        <v>52</v>
      </c>
      <c r="B32" t="s">
        <v>53</v>
      </c>
      <c r="C32" s="1">
        <v>135</v>
      </c>
      <c r="D32" s="1">
        <v>79</v>
      </c>
      <c r="E32" s="1">
        <v>166</v>
      </c>
      <c r="F32" s="1">
        <v>183</v>
      </c>
      <c r="G32" s="1">
        <v>296</v>
      </c>
      <c r="H32" s="1">
        <v>151</v>
      </c>
      <c r="I32" s="1">
        <v>352</v>
      </c>
      <c r="J32" s="1">
        <v>180</v>
      </c>
      <c r="K32" s="1">
        <v>103</v>
      </c>
      <c r="L32" s="1">
        <v>177</v>
      </c>
      <c r="M32" s="1">
        <v>193</v>
      </c>
      <c r="N32" s="1">
        <v>186</v>
      </c>
      <c r="O32" s="58">
        <v>203</v>
      </c>
      <c r="P32" s="58">
        <v>174</v>
      </c>
      <c r="Q32" s="58">
        <v>224</v>
      </c>
      <c r="R32" s="58">
        <v>195</v>
      </c>
      <c r="S32" s="2">
        <f t="shared" si="0"/>
        <v>2997</v>
      </c>
      <c r="T32" s="48"/>
      <c r="U32" s="20">
        <f t="shared" si="11"/>
        <v>187.3125</v>
      </c>
      <c r="V32" s="20">
        <f t="shared" si="14"/>
        <v>200.89265624999999</v>
      </c>
      <c r="W32" s="33">
        <f>+VLOOKUP(A32,'INVENTARIO ACTUAL'!$A$2:$E$40,5,FALSE)</f>
        <v>77</v>
      </c>
      <c r="X32" s="20">
        <f t="shared" si="5"/>
        <v>50.223164062499997</v>
      </c>
      <c r="Y32" s="20">
        <f t="shared" si="9"/>
        <v>26.776835937500003</v>
      </c>
      <c r="Z32" s="20">
        <f t="shared" si="6"/>
        <v>963.96609375000014</v>
      </c>
      <c r="AA32" s="43"/>
      <c r="AB32" s="21">
        <f t="shared" si="15"/>
        <v>10.0446328125</v>
      </c>
      <c r="AC32" s="21">
        <v>36</v>
      </c>
      <c r="AD32" s="22">
        <f t="shared" si="16"/>
        <v>7232.1356249999999</v>
      </c>
      <c r="AE32" s="22">
        <f t="shared" si="7"/>
        <v>361.60678124999998</v>
      </c>
      <c r="AF32">
        <v>0.12</v>
      </c>
      <c r="AG32" s="21">
        <f t="shared" si="8"/>
        <v>43.392813749999995</v>
      </c>
      <c r="AI32" s="20">
        <f t="shared" si="10"/>
        <v>0</v>
      </c>
    </row>
    <row r="33" spans="1:35" x14ac:dyDescent="0.25">
      <c r="A33" t="s">
        <v>64</v>
      </c>
      <c r="B33" t="s">
        <v>65</v>
      </c>
      <c r="C33" s="1">
        <v>187</v>
      </c>
      <c r="D33" s="1">
        <v>159</v>
      </c>
      <c r="E33" s="1">
        <v>258</v>
      </c>
      <c r="F33" s="1">
        <v>210</v>
      </c>
      <c r="G33" s="1">
        <v>298</v>
      </c>
      <c r="H33" s="1">
        <v>208</v>
      </c>
      <c r="I33" s="1">
        <v>204</v>
      </c>
      <c r="J33" s="1">
        <v>151</v>
      </c>
      <c r="K33" s="1">
        <v>153</v>
      </c>
      <c r="L33" s="1">
        <v>239</v>
      </c>
      <c r="M33" s="1">
        <v>143</v>
      </c>
      <c r="N33" s="1">
        <v>164</v>
      </c>
      <c r="O33" s="58">
        <v>209</v>
      </c>
      <c r="P33" s="58">
        <v>136</v>
      </c>
      <c r="Q33" s="58">
        <v>185</v>
      </c>
      <c r="R33" s="58">
        <v>140</v>
      </c>
      <c r="S33" s="2">
        <f t="shared" si="0"/>
        <v>3044</v>
      </c>
      <c r="T33" s="48"/>
      <c r="U33" s="20">
        <f t="shared" si="11"/>
        <v>190.25</v>
      </c>
      <c r="V33" s="20">
        <f t="shared" si="14"/>
        <v>204.043125</v>
      </c>
      <c r="W33" s="33">
        <f>+VLOOKUP(A33,'INVENTARIO ACTUAL'!$A$2:$E$40,5,FALSE)</f>
        <v>30</v>
      </c>
      <c r="X33" s="20">
        <f t="shared" si="5"/>
        <v>51.010781250000001</v>
      </c>
      <c r="Y33" s="20">
        <f t="shared" si="9"/>
        <v>-21.010781250000001</v>
      </c>
      <c r="Z33" s="20">
        <f t="shared" si="6"/>
        <v>-504.25875000000002</v>
      </c>
      <c r="AA33" s="43"/>
      <c r="AB33" s="21">
        <f t="shared" si="15"/>
        <v>10.20215625</v>
      </c>
      <c r="AC33" s="21">
        <v>24</v>
      </c>
      <c r="AD33" s="22">
        <f t="shared" si="16"/>
        <v>4897.0349999999999</v>
      </c>
      <c r="AE33" s="22">
        <f t="shared" si="7"/>
        <v>244.85174999999998</v>
      </c>
      <c r="AF33">
        <v>0.12</v>
      </c>
      <c r="AG33" s="21">
        <f t="shared" si="8"/>
        <v>29.382209999999997</v>
      </c>
      <c r="AI33" s="20">
        <f t="shared" si="10"/>
        <v>-60.511049999999997</v>
      </c>
    </row>
    <row r="34" spans="1:35" x14ac:dyDescent="0.25">
      <c r="A34" t="s">
        <v>76</v>
      </c>
      <c r="B34" t="s">
        <v>77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249</v>
      </c>
      <c r="I34" s="1">
        <v>141</v>
      </c>
      <c r="J34" s="1">
        <v>145</v>
      </c>
      <c r="K34" s="1">
        <v>136</v>
      </c>
      <c r="L34" s="1">
        <v>101</v>
      </c>
      <c r="M34" s="1">
        <v>100</v>
      </c>
      <c r="N34" s="1">
        <v>74</v>
      </c>
      <c r="O34" s="58">
        <v>141</v>
      </c>
      <c r="P34" s="58">
        <v>120</v>
      </c>
      <c r="Q34" s="58">
        <v>200</v>
      </c>
      <c r="R34" s="58">
        <v>215</v>
      </c>
      <c r="S34" s="2">
        <f>SUM(C34:R34)</f>
        <v>1622</v>
      </c>
      <c r="T34" s="48"/>
      <c r="U34" s="20">
        <f t="shared" si="11"/>
        <v>101.375</v>
      </c>
      <c r="V34" s="20">
        <f t="shared" si="14"/>
        <v>108.7246875</v>
      </c>
      <c r="W34" s="33">
        <f>+VLOOKUP(A34,'INVENTARIO ACTUAL'!$A$2:$E$40,5,FALSE)</f>
        <v>73</v>
      </c>
      <c r="X34" s="20">
        <f t="shared" si="5"/>
        <v>27.181171875</v>
      </c>
      <c r="Y34" s="20">
        <f t="shared" si="9"/>
        <v>45.818828124999996</v>
      </c>
      <c r="Z34" s="20">
        <f t="shared" si="6"/>
        <v>1649.4778124999998</v>
      </c>
      <c r="AA34" s="43"/>
      <c r="AB34" s="21">
        <f t="shared" si="15"/>
        <v>5.4362343749999997</v>
      </c>
      <c r="AC34" s="21">
        <v>36</v>
      </c>
      <c r="AD34" s="22">
        <f t="shared" si="16"/>
        <v>3914.0887499999999</v>
      </c>
      <c r="AE34" s="22">
        <f t="shared" si="7"/>
        <v>195.70443749999998</v>
      </c>
      <c r="AF34">
        <v>0.12</v>
      </c>
      <c r="AG34" s="21">
        <f t="shared" si="8"/>
        <v>23.484532499999997</v>
      </c>
      <c r="AI34" s="20">
        <f t="shared" si="10"/>
        <v>0</v>
      </c>
    </row>
    <row r="35" spans="1:35" x14ac:dyDescent="0.25">
      <c r="A35" t="s">
        <v>78</v>
      </c>
      <c r="B35" t="s">
        <v>79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25</v>
      </c>
      <c r="I35" s="1">
        <v>133</v>
      </c>
      <c r="J35" s="1">
        <v>89</v>
      </c>
      <c r="K35" s="1">
        <v>139</v>
      </c>
      <c r="L35" s="1">
        <v>144</v>
      </c>
      <c r="M35" s="1">
        <v>134</v>
      </c>
      <c r="N35" s="1">
        <v>170</v>
      </c>
      <c r="O35" s="58">
        <v>131</v>
      </c>
      <c r="P35" s="58">
        <v>117</v>
      </c>
      <c r="Q35" s="58">
        <v>133</v>
      </c>
      <c r="R35" s="58">
        <v>151</v>
      </c>
      <c r="S35" s="2">
        <f>SUM(C35:R35)</f>
        <v>1366</v>
      </c>
      <c r="T35" s="48"/>
      <c r="U35" s="20">
        <f t="shared" si="11"/>
        <v>85.375</v>
      </c>
      <c r="V35" s="20">
        <f t="shared" si="14"/>
        <v>91.564687500000005</v>
      </c>
      <c r="W35" s="33">
        <f>+VLOOKUP(A35,'INVENTARIO ACTUAL'!$A$2:$E$40,5,FALSE)</f>
        <v>30</v>
      </c>
      <c r="X35" s="20">
        <f t="shared" si="5"/>
        <v>22.891171875000001</v>
      </c>
      <c r="Y35" s="20">
        <f t="shared" si="9"/>
        <v>7.1088281249999987</v>
      </c>
      <c r="Z35" s="20">
        <f t="shared" si="6"/>
        <v>255.91781249999997</v>
      </c>
      <c r="AA35" s="43"/>
      <c r="AB35" s="21">
        <f t="shared" si="15"/>
        <v>4.5782343750000001</v>
      </c>
      <c r="AC35" s="21">
        <v>36</v>
      </c>
      <c r="AD35" s="22">
        <f t="shared" si="16"/>
        <v>3296.3287500000001</v>
      </c>
      <c r="AE35" s="22">
        <f t="shared" si="7"/>
        <v>164.81643750000001</v>
      </c>
      <c r="AF35">
        <v>0.12</v>
      </c>
      <c r="AG35" s="21">
        <f t="shared" si="8"/>
        <v>19.777972500000001</v>
      </c>
      <c r="AI35" s="20">
        <f t="shared" si="10"/>
        <v>0</v>
      </c>
    </row>
    <row r="36" spans="1:35" ht="15.75" thickBot="1" x14ac:dyDescent="0.3">
      <c r="C36" s="19">
        <f>+SUBTOTAL(9,C2:C35)</f>
        <v>19300</v>
      </c>
      <c r="D36" s="19">
        <f t="shared" ref="D36:P36" si="17">+SUBTOTAL(9,D2:D35)</f>
        <v>13950</v>
      </c>
      <c r="E36" s="19">
        <f t="shared" si="17"/>
        <v>16039</v>
      </c>
      <c r="F36" s="19">
        <f t="shared" si="17"/>
        <v>15166.5</v>
      </c>
      <c r="G36" s="19">
        <f t="shared" si="17"/>
        <v>17769</v>
      </c>
      <c r="H36" s="19">
        <f t="shared" si="17"/>
        <v>15702</v>
      </c>
      <c r="I36" s="19">
        <f t="shared" si="17"/>
        <v>16581.5</v>
      </c>
      <c r="J36" s="19">
        <f t="shared" si="17"/>
        <v>16393.5</v>
      </c>
      <c r="K36" s="19">
        <f t="shared" si="17"/>
        <v>17280.5</v>
      </c>
      <c r="L36" s="19">
        <f t="shared" si="17"/>
        <v>16883.5</v>
      </c>
      <c r="M36" s="19">
        <f t="shared" si="17"/>
        <v>15996.5</v>
      </c>
      <c r="N36" s="19">
        <f t="shared" si="17"/>
        <v>12681</v>
      </c>
      <c r="O36" s="19">
        <f t="shared" si="17"/>
        <v>16270.5</v>
      </c>
      <c r="P36" s="19">
        <f t="shared" si="17"/>
        <v>15551</v>
      </c>
      <c r="Q36" s="19">
        <f>+SUBTOTAL(9,Q2:Q35)</f>
        <v>18316.5</v>
      </c>
      <c r="R36" s="19">
        <f>+SUBTOTAL(9,R2:R35)</f>
        <v>15209.5</v>
      </c>
      <c r="S36" s="19">
        <f>+SUBTOTAL(9,S2:S35)</f>
        <v>259090.5</v>
      </c>
      <c r="T36" s="49"/>
      <c r="U36" s="37">
        <f>+SUBTOTAL(9,U2:U35)</f>
        <v>16200.786057692307</v>
      </c>
      <c r="V36" s="37">
        <f t="shared" ref="V36:Z36" si="18">+SUBTOTAL(9,V2:V35)</f>
        <v>17375.343046874994</v>
      </c>
      <c r="W36" s="37">
        <f t="shared" si="18"/>
        <v>5582</v>
      </c>
      <c r="X36" s="37">
        <f t="shared" si="18"/>
        <v>4343.8357617187485</v>
      </c>
      <c r="Y36" s="37">
        <f t="shared" si="18"/>
        <v>1238.1642382812497</v>
      </c>
      <c r="Z36" s="37">
        <f t="shared" si="18"/>
        <v>455793.67953124992</v>
      </c>
      <c r="AA36" s="44"/>
      <c r="AB36" s="37">
        <f>+SUBTOTAL(9,AB2:AB35)</f>
        <v>864.92961328125023</v>
      </c>
      <c r="AC36" s="37"/>
      <c r="AD36" s="37">
        <f>+SUBTOTAL(9,AD2:AD35)</f>
        <v>5442569.2818750003</v>
      </c>
      <c r="AE36" s="37">
        <f>+SUBTOTAL(9,AE2:AE35)</f>
        <v>272128.46409374988</v>
      </c>
      <c r="AF36" s="37"/>
      <c r="AG36" s="37">
        <f>+SUBTOTAL(9,AG2:AG35)</f>
        <v>5804.9107771874988</v>
      </c>
      <c r="AI36" s="19">
        <f>+SUBTOTAL(9,AI2:AI35)</f>
        <v>-1345.4619828125001</v>
      </c>
    </row>
    <row r="37" spans="1:35" ht="15.75" thickTop="1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2"/>
      <c r="T37" s="48"/>
      <c r="U37" s="21"/>
      <c r="V37" s="21"/>
      <c r="W37" s="34"/>
      <c r="X37" s="21"/>
      <c r="Y37" s="21"/>
      <c r="Z37" s="21"/>
      <c r="AA37" s="45"/>
      <c r="AG37" s="36"/>
    </row>
    <row r="38" spans="1:35" x14ac:dyDescent="0.25">
      <c r="A38" t="s">
        <v>66</v>
      </c>
      <c r="B38" t="s">
        <v>67</v>
      </c>
      <c r="C38" s="1">
        <v>133</v>
      </c>
      <c r="D38" s="1">
        <v>107</v>
      </c>
      <c r="E38" s="1">
        <v>162</v>
      </c>
      <c r="F38" s="1">
        <v>136</v>
      </c>
      <c r="G38" s="1">
        <v>124</v>
      </c>
      <c r="H38" s="1">
        <v>86</v>
      </c>
      <c r="I38" s="1">
        <v>73</v>
      </c>
      <c r="J38" s="1">
        <v>128</v>
      </c>
      <c r="K38" s="1">
        <v>161</v>
      </c>
      <c r="L38" s="1">
        <v>113</v>
      </c>
      <c r="M38" s="1">
        <v>161</v>
      </c>
      <c r="N38" s="1">
        <v>75</v>
      </c>
      <c r="O38" s="58">
        <v>124</v>
      </c>
      <c r="P38" s="58">
        <v>118</v>
      </c>
      <c r="Q38" s="58">
        <v>144</v>
      </c>
      <c r="R38" s="58">
        <v>148</v>
      </c>
      <c r="S38" s="2">
        <f>SUM(C38:R38)</f>
        <v>1993</v>
      </c>
      <c r="T38" s="48"/>
      <c r="U38" s="20">
        <f t="shared" ref="U38:U42" si="19">+AVERAGE(C38:R38)</f>
        <v>124.5625</v>
      </c>
      <c r="V38" s="20">
        <f>+U38*$V$47+U38</f>
        <v>133.59328124999999</v>
      </c>
      <c r="W38" s="33">
        <f>+VLOOKUP(A38,'INVENTARIO ACTUAL'!$A$2:$E$40,5,FALSE)</f>
        <v>51</v>
      </c>
      <c r="X38" s="20">
        <f t="shared" ref="X38:X41" si="20">+V38/4</f>
        <v>33.398320312499997</v>
      </c>
      <c r="Y38" s="20">
        <f>+W38-X38</f>
        <v>17.601679687500003</v>
      </c>
      <c r="Z38" s="20">
        <f>+Y38*AC38</f>
        <v>42244.031250000007</v>
      </c>
      <c r="AA38" s="43"/>
      <c r="AB38" s="21">
        <f>+V38/20</f>
        <v>6.6796640624999997</v>
      </c>
      <c r="AC38" s="21">
        <v>2400</v>
      </c>
      <c r="AD38" s="22">
        <f>+V38*AC38</f>
        <v>320623.875</v>
      </c>
      <c r="AE38" s="22">
        <f t="shared" ref="AE38:AE42" si="21">+AD38/20</f>
        <v>16031.19375</v>
      </c>
      <c r="AF38">
        <v>2E-3</v>
      </c>
      <c r="AG38" s="21">
        <f t="shared" ref="AG38:AG42" si="22">+AE38*AF38</f>
        <v>32.0623875</v>
      </c>
      <c r="AI38" s="20">
        <f t="shared" ref="AI38:AI42" si="23">+IF(Z38&lt;=0,Z38*AF38,0)</f>
        <v>0</v>
      </c>
    </row>
    <row r="39" spans="1:35" x14ac:dyDescent="0.25">
      <c r="A39" t="s">
        <v>68</v>
      </c>
      <c r="B39" t="s">
        <v>69</v>
      </c>
      <c r="C39" s="1">
        <v>37</v>
      </c>
      <c r="D39" s="1">
        <v>23</v>
      </c>
      <c r="E39" s="1">
        <v>24</v>
      </c>
      <c r="F39" s="1">
        <v>20</v>
      </c>
      <c r="G39" s="1">
        <v>49</v>
      </c>
      <c r="H39" s="1">
        <v>55</v>
      </c>
      <c r="I39" s="1">
        <v>32</v>
      </c>
      <c r="J39" s="1">
        <v>28</v>
      </c>
      <c r="K39" s="1">
        <v>56</v>
      </c>
      <c r="L39" s="1">
        <v>56</v>
      </c>
      <c r="M39" s="1">
        <v>52</v>
      </c>
      <c r="N39" s="1">
        <v>44</v>
      </c>
      <c r="O39" s="58">
        <v>44</v>
      </c>
      <c r="P39" s="58">
        <v>40</v>
      </c>
      <c r="Q39" s="58">
        <v>40</v>
      </c>
      <c r="R39" s="58">
        <v>35</v>
      </c>
      <c r="S39" s="2">
        <f t="shared" ref="S39:S42" si="24">SUM(C39:R39)</f>
        <v>635</v>
      </c>
      <c r="T39" s="48"/>
      <c r="U39" s="20">
        <f t="shared" si="19"/>
        <v>39.6875</v>
      </c>
      <c r="V39" s="20">
        <f>+U39*$V$47+U39</f>
        <v>42.564843750000001</v>
      </c>
      <c r="W39" s="33">
        <f>+VLOOKUP(A39,'INVENTARIO ACTUAL'!$A$2:$E$40,5,FALSE)</f>
        <v>106</v>
      </c>
      <c r="X39" s="20">
        <f t="shared" si="20"/>
        <v>10.6412109375</v>
      </c>
      <c r="Y39" s="20">
        <f>+W39-X39</f>
        <v>95.358789062499994</v>
      </c>
      <c r="Z39" s="20">
        <f t="shared" ref="Z39:Z41" si="25">+Y39*AC39</f>
        <v>228861.09375</v>
      </c>
      <c r="AA39" s="43"/>
      <c r="AB39" s="21">
        <f>+V39/20</f>
        <v>2.1282421875000002</v>
      </c>
      <c r="AC39" s="21">
        <v>2400</v>
      </c>
      <c r="AD39" s="22">
        <f>+V39*AC39</f>
        <v>102155.625</v>
      </c>
      <c r="AE39" s="22">
        <f t="shared" si="21"/>
        <v>5107.78125</v>
      </c>
      <c r="AF39">
        <v>2E-3</v>
      </c>
      <c r="AG39" s="21">
        <f t="shared" si="22"/>
        <v>10.215562500000001</v>
      </c>
      <c r="AI39" s="20">
        <f t="shared" si="23"/>
        <v>0</v>
      </c>
    </row>
    <row r="40" spans="1:35" x14ac:dyDescent="0.25">
      <c r="A40" t="s">
        <v>70</v>
      </c>
      <c r="B40" t="s">
        <v>71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58">
        <v>52</v>
      </c>
      <c r="P40" s="58">
        <v>70</v>
      </c>
      <c r="Q40" s="58">
        <v>70</v>
      </c>
      <c r="R40" s="58">
        <v>58</v>
      </c>
      <c r="S40" s="2">
        <f t="shared" si="24"/>
        <v>251</v>
      </c>
      <c r="T40" s="48"/>
      <c r="U40" s="20">
        <f t="shared" si="19"/>
        <v>15.6875</v>
      </c>
      <c r="V40" s="20">
        <f>+U40*$V$47+U40</f>
        <v>16.824843749999999</v>
      </c>
      <c r="W40" s="33">
        <f>+VLOOKUP(A40,'INVENTARIO ACTUAL'!$A$2:$E$40,5,FALSE)</f>
        <v>45</v>
      </c>
      <c r="X40" s="20">
        <f t="shared" si="20"/>
        <v>4.2062109374999999</v>
      </c>
      <c r="Y40" s="20">
        <f>+W40-X40</f>
        <v>40.793789062499997</v>
      </c>
      <c r="Z40" s="20">
        <f t="shared" si="25"/>
        <v>97905.093749999985</v>
      </c>
      <c r="AA40" s="43"/>
      <c r="AB40" s="21">
        <f>+V40/20</f>
        <v>0.84124218750000002</v>
      </c>
      <c r="AC40" s="21">
        <v>2400</v>
      </c>
      <c r="AD40" s="22">
        <f>+V40*AC40</f>
        <v>40379.625</v>
      </c>
      <c r="AE40" s="22">
        <f t="shared" si="21"/>
        <v>2018.98125</v>
      </c>
      <c r="AF40">
        <v>2E-3</v>
      </c>
      <c r="AG40" s="21">
        <f t="shared" si="22"/>
        <v>4.0379624999999999</v>
      </c>
      <c r="AI40" s="20">
        <f t="shared" si="23"/>
        <v>0</v>
      </c>
    </row>
    <row r="41" spans="1:35" x14ac:dyDescent="0.25">
      <c r="A41" t="s">
        <v>72</v>
      </c>
      <c r="B41" t="s">
        <v>73</v>
      </c>
      <c r="C41" s="1">
        <v>13</v>
      </c>
      <c r="D41" s="1">
        <v>15</v>
      </c>
      <c r="E41" s="1">
        <v>15</v>
      </c>
      <c r="F41" s="1">
        <v>15</v>
      </c>
      <c r="G41" s="1">
        <v>27</v>
      </c>
      <c r="H41" s="1">
        <v>89</v>
      </c>
      <c r="I41" s="1">
        <v>77</v>
      </c>
      <c r="J41" s="1">
        <v>17</v>
      </c>
      <c r="K41" s="1">
        <v>76</v>
      </c>
      <c r="L41" s="1">
        <v>74</v>
      </c>
      <c r="M41" s="1">
        <v>82</v>
      </c>
      <c r="N41" s="1">
        <v>20</v>
      </c>
      <c r="O41" s="58">
        <v>38</v>
      </c>
      <c r="P41" s="58">
        <v>55</v>
      </c>
      <c r="Q41" s="58">
        <v>48</v>
      </c>
      <c r="R41" s="58">
        <v>77</v>
      </c>
      <c r="S41" s="2">
        <f t="shared" si="24"/>
        <v>738</v>
      </c>
      <c r="T41" s="48"/>
      <c r="U41" s="20">
        <f t="shared" si="19"/>
        <v>46.125</v>
      </c>
      <c r="V41" s="20">
        <f>+U41*$V$47+U41</f>
        <v>49.4690625</v>
      </c>
      <c r="W41" s="33">
        <f>+VLOOKUP(A41,'INVENTARIO ACTUAL'!$A$2:$E$40,5,FALSE)</f>
        <v>20</v>
      </c>
      <c r="X41" s="20">
        <f t="shared" si="20"/>
        <v>12.367265625</v>
      </c>
      <c r="Y41" s="20">
        <f t="shared" ref="Y41:Y42" si="26">+W41-X41</f>
        <v>7.6327343750000001</v>
      </c>
      <c r="Z41" s="20">
        <f t="shared" si="25"/>
        <v>18318.5625</v>
      </c>
      <c r="AA41" s="43"/>
      <c r="AB41" s="21">
        <f>+V41/20</f>
        <v>2.4734531249999998</v>
      </c>
      <c r="AC41" s="21">
        <v>2400</v>
      </c>
      <c r="AD41" s="22">
        <f>+V41*AC41</f>
        <v>118725.75</v>
      </c>
      <c r="AE41" s="22">
        <f t="shared" si="21"/>
        <v>5936.2875000000004</v>
      </c>
      <c r="AF41">
        <v>2E-3</v>
      </c>
      <c r="AG41" s="21">
        <f t="shared" si="22"/>
        <v>11.872575000000001</v>
      </c>
      <c r="AI41" s="20">
        <f t="shared" si="23"/>
        <v>0</v>
      </c>
    </row>
    <row r="42" spans="1:35" x14ac:dyDescent="0.25">
      <c r="A42" t="s">
        <v>74</v>
      </c>
      <c r="B42" t="s">
        <v>75</v>
      </c>
      <c r="C42" s="1">
        <v>369</v>
      </c>
      <c r="D42" s="1">
        <v>789</v>
      </c>
      <c r="E42" s="1">
        <v>736</v>
      </c>
      <c r="F42" s="1">
        <v>625</v>
      </c>
      <c r="G42" s="1">
        <v>719</v>
      </c>
      <c r="H42" s="1">
        <v>557</v>
      </c>
      <c r="I42" s="1">
        <v>339</v>
      </c>
      <c r="J42" s="1">
        <v>510</v>
      </c>
      <c r="K42" s="1">
        <v>661</v>
      </c>
      <c r="L42" s="1">
        <v>698</v>
      </c>
      <c r="M42" s="1">
        <v>663</v>
      </c>
      <c r="N42" s="1">
        <v>503</v>
      </c>
      <c r="O42" s="58">
        <v>507.5</v>
      </c>
      <c r="P42" s="58">
        <v>663</v>
      </c>
      <c r="Q42" s="58">
        <v>728.5</v>
      </c>
      <c r="R42" s="58">
        <v>666</v>
      </c>
      <c r="S42" s="2">
        <f t="shared" si="24"/>
        <v>9734</v>
      </c>
      <c r="T42" s="48"/>
      <c r="U42" s="20">
        <f t="shared" si="19"/>
        <v>608.375</v>
      </c>
      <c r="V42" s="20">
        <f>+U42*$V$47+U42</f>
        <v>652.48218750000001</v>
      </c>
      <c r="W42" s="33">
        <f>+VLOOKUP(A42,'INVENTARIO ACTUAL'!$A$2:$E$40,5,FALSE)</f>
        <v>127</v>
      </c>
      <c r="X42" s="20">
        <f>+V42/4</f>
        <v>163.120546875</v>
      </c>
      <c r="Y42" s="20">
        <f t="shared" si="26"/>
        <v>-36.120546875000002</v>
      </c>
      <c r="Z42" s="20">
        <f>+Y42*AC42</f>
        <v>-86689.3125</v>
      </c>
      <c r="AA42" s="43"/>
      <c r="AB42" s="21">
        <f>+V42/20</f>
        <v>32.624109375000003</v>
      </c>
      <c r="AC42" s="21">
        <v>2400</v>
      </c>
      <c r="AD42" s="22">
        <f>+V42*AC42</f>
        <v>1565957.25</v>
      </c>
      <c r="AE42" s="22">
        <f t="shared" si="21"/>
        <v>78297.862500000003</v>
      </c>
      <c r="AF42">
        <v>2E-3</v>
      </c>
      <c r="AG42" s="21">
        <f t="shared" si="22"/>
        <v>156.59572500000002</v>
      </c>
      <c r="AI42" s="20">
        <f t="shared" si="23"/>
        <v>-173.378625</v>
      </c>
    </row>
    <row r="43" spans="1:35" x14ac:dyDescent="0.25">
      <c r="U43" s="22"/>
      <c r="V43" s="22"/>
      <c r="W43" s="22"/>
      <c r="X43" s="22"/>
      <c r="Y43" s="22"/>
    </row>
    <row r="44" spans="1:35" ht="15.75" thickBot="1" x14ac:dyDescent="0.3">
      <c r="C44" s="18">
        <f>+SUBTOTAL(9,C38:C42)</f>
        <v>552</v>
      </c>
      <c r="D44" s="18">
        <f t="shared" ref="D44:R44" si="27">+SUBTOTAL(9,D38:D42)</f>
        <v>934</v>
      </c>
      <c r="E44" s="18">
        <f t="shared" si="27"/>
        <v>937</v>
      </c>
      <c r="F44" s="18">
        <f t="shared" si="27"/>
        <v>796</v>
      </c>
      <c r="G44" s="18">
        <f t="shared" si="27"/>
        <v>919</v>
      </c>
      <c r="H44" s="18">
        <f t="shared" si="27"/>
        <v>787</v>
      </c>
      <c r="I44" s="18">
        <f t="shared" si="27"/>
        <v>522</v>
      </c>
      <c r="J44" s="18">
        <f t="shared" si="27"/>
        <v>683</v>
      </c>
      <c r="K44" s="18">
        <f t="shared" si="27"/>
        <v>954</v>
      </c>
      <c r="L44" s="18">
        <f t="shared" si="27"/>
        <v>941</v>
      </c>
      <c r="M44" s="18">
        <f t="shared" si="27"/>
        <v>958</v>
      </c>
      <c r="N44" s="18">
        <f t="shared" si="27"/>
        <v>642</v>
      </c>
      <c r="O44" s="18">
        <f t="shared" si="27"/>
        <v>765.5</v>
      </c>
      <c r="P44" s="18">
        <f t="shared" si="27"/>
        <v>946</v>
      </c>
      <c r="Q44" s="18">
        <f t="shared" si="27"/>
        <v>1030.5</v>
      </c>
      <c r="R44" s="18">
        <f t="shared" si="27"/>
        <v>984</v>
      </c>
      <c r="S44" s="18">
        <f t="shared" ref="S44" si="28">+SUBTOTAL(9,S38:S42)</f>
        <v>13351</v>
      </c>
      <c r="T44" s="50"/>
      <c r="U44" s="38">
        <f t="shared" ref="U44:AI44" si="29">+SUBTOTAL(9,U38:U42)</f>
        <v>834.4375</v>
      </c>
      <c r="V44" s="38">
        <f t="shared" si="29"/>
        <v>894.93421875000001</v>
      </c>
      <c r="W44" s="38">
        <f t="shared" si="29"/>
        <v>349</v>
      </c>
      <c r="X44" s="38">
        <f t="shared" si="29"/>
        <v>223.7335546875</v>
      </c>
      <c r="Y44" s="38">
        <f t="shared" si="29"/>
        <v>125.2664453125</v>
      </c>
      <c r="Z44" s="38">
        <f t="shared" si="29"/>
        <v>300639.46875</v>
      </c>
      <c r="AA44" s="46"/>
      <c r="AB44" s="38">
        <f t="shared" si="29"/>
        <v>44.746710937500005</v>
      </c>
      <c r="AC44" s="38"/>
      <c r="AD44" s="38">
        <f t="shared" si="29"/>
        <v>2147842.125</v>
      </c>
      <c r="AE44" s="38">
        <f t="shared" si="29"/>
        <v>107392.10625000001</v>
      </c>
      <c r="AF44" s="39"/>
      <c r="AG44" s="38">
        <f t="shared" si="29"/>
        <v>214.78421250000002</v>
      </c>
      <c r="AI44" s="31">
        <f t="shared" si="29"/>
        <v>-173.378625</v>
      </c>
    </row>
    <row r="45" spans="1:35" ht="15.75" thickTop="1" x14ac:dyDescent="0.25">
      <c r="U45" s="22"/>
      <c r="V45" s="22"/>
      <c r="W45" s="22"/>
      <c r="X45" s="22"/>
      <c r="Y45" s="22"/>
    </row>
    <row r="46" spans="1:35" ht="15.75" thickBot="1" x14ac:dyDescent="0.3">
      <c r="C46" s="40">
        <f t="shared" ref="C46:R46" si="30">+C36+C44</f>
        <v>19852</v>
      </c>
      <c r="D46" s="40">
        <f t="shared" si="30"/>
        <v>14884</v>
      </c>
      <c r="E46" s="40">
        <f t="shared" si="30"/>
        <v>16976</v>
      </c>
      <c r="F46" s="40">
        <f t="shared" si="30"/>
        <v>15962.5</v>
      </c>
      <c r="G46" s="40">
        <f t="shared" si="30"/>
        <v>18688</v>
      </c>
      <c r="H46" s="40">
        <f t="shared" si="30"/>
        <v>16489</v>
      </c>
      <c r="I46" s="40">
        <f t="shared" si="30"/>
        <v>17103.5</v>
      </c>
      <c r="J46" s="40">
        <f t="shared" si="30"/>
        <v>17076.5</v>
      </c>
      <c r="K46" s="40">
        <f t="shared" si="30"/>
        <v>18234.5</v>
      </c>
      <c r="L46" s="40">
        <f t="shared" si="30"/>
        <v>17824.5</v>
      </c>
      <c r="M46" s="40">
        <f t="shared" si="30"/>
        <v>16954.5</v>
      </c>
      <c r="N46" s="40">
        <f t="shared" si="30"/>
        <v>13323</v>
      </c>
      <c r="O46" s="40">
        <f t="shared" si="30"/>
        <v>17036</v>
      </c>
      <c r="P46" s="40">
        <f t="shared" si="30"/>
        <v>16497</v>
      </c>
      <c r="Q46" s="40">
        <f t="shared" si="30"/>
        <v>19347</v>
      </c>
      <c r="R46" s="40">
        <f t="shared" si="30"/>
        <v>16193.5</v>
      </c>
      <c r="S46" s="40">
        <f>+S36+S44</f>
        <v>272441.5</v>
      </c>
      <c r="T46" s="50"/>
      <c r="U46" s="41">
        <f t="shared" ref="U46:Z46" si="31">+U36+U44</f>
        <v>17035.223557692305</v>
      </c>
      <c r="V46" s="41">
        <f t="shared" si="31"/>
        <v>18270.277265624994</v>
      </c>
      <c r="W46" s="41">
        <f t="shared" si="31"/>
        <v>5931</v>
      </c>
      <c r="X46" s="41">
        <f t="shared" si="31"/>
        <v>4567.5693164062486</v>
      </c>
      <c r="Y46" s="41">
        <f t="shared" si="31"/>
        <v>1363.4306835937498</v>
      </c>
      <c r="Z46" s="41">
        <f t="shared" si="31"/>
        <v>756433.14828124992</v>
      </c>
      <c r="AA46" s="46"/>
      <c r="AB46" s="41">
        <f>+AB36+AB44</f>
        <v>909.67632421875021</v>
      </c>
      <c r="AC46" s="41">
        <f>+AC36+AC44</f>
        <v>0</v>
      </c>
      <c r="AD46" s="41">
        <f>+AD36+AD44</f>
        <v>7590411.4068750003</v>
      </c>
      <c r="AE46" s="41">
        <f>+AE36+AE44</f>
        <v>379520.57034374989</v>
      </c>
      <c r="AF46" s="42"/>
      <c r="AG46" s="41">
        <f>+AG36+AG44</f>
        <v>6019.6949896874985</v>
      </c>
      <c r="AI46" s="41">
        <f>+AI36+AI44</f>
        <v>-1518.8406078125001</v>
      </c>
    </row>
    <row r="47" spans="1:35" ht="15.75" thickTop="1" x14ac:dyDescent="0.25">
      <c r="C47" s="23">
        <f>+C46/$S$46</f>
        <v>7.2867019158241314E-2</v>
      </c>
      <c r="D47" s="23">
        <f>+D46/$S$46</f>
        <v>5.4631911804919588E-2</v>
      </c>
      <c r="E47" s="23">
        <f>+E46/$S$46</f>
        <v>6.2310624482687108E-2</v>
      </c>
      <c r="F47" s="23">
        <f>+F46/$S$46</f>
        <v>5.8590559808252417E-2</v>
      </c>
      <c r="G47" s="23">
        <f>+G46/$S$46</f>
        <v>6.8594542314588641E-2</v>
      </c>
      <c r="H47" s="23">
        <f t="shared" ref="H47:K47" si="32">+H46/$S$46</f>
        <v>6.0523084772327269E-2</v>
      </c>
      <c r="I47" s="23">
        <f t="shared" si="32"/>
        <v>6.2778614858602672E-2</v>
      </c>
      <c r="J47" s="23">
        <f t="shared" si="32"/>
        <v>6.2679511014291145E-2</v>
      </c>
      <c r="K47" s="23">
        <f t="shared" si="32"/>
        <v>6.6929964781430137E-2</v>
      </c>
      <c r="L47" s="23">
        <f t="shared" ref="L47:R47" si="33">+L46/$S$46</f>
        <v>6.5425054552995784E-2</v>
      </c>
      <c r="M47" s="23">
        <f t="shared" si="33"/>
        <v>6.2231708458513113E-2</v>
      </c>
      <c r="N47" s="23">
        <f t="shared" si="33"/>
        <v>4.8902241398612177E-2</v>
      </c>
      <c r="O47" s="23">
        <f t="shared" si="33"/>
        <v>6.2530855247823841E-2</v>
      </c>
      <c r="P47" s="23">
        <f t="shared" si="33"/>
        <v>6.0552448874345501E-2</v>
      </c>
      <c r="Q47" s="23">
        <f t="shared" si="33"/>
        <v>7.1013410218340456E-2</v>
      </c>
      <c r="R47" s="23">
        <f t="shared" si="33"/>
        <v>5.9438448254028844E-2</v>
      </c>
      <c r="V47" s="24">
        <f>+AVERAGE(C47:R47)+1%</f>
        <v>7.2499999999999995E-2</v>
      </c>
      <c r="W47" s="24"/>
      <c r="X47" s="24"/>
      <c r="Y47" s="24"/>
      <c r="Z47" s="35"/>
      <c r="AA47" s="47"/>
    </row>
    <row r="48" spans="1:35" x14ac:dyDescent="0.25">
      <c r="U48" s="5"/>
      <c r="V48" s="5"/>
      <c r="W48" s="5"/>
      <c r="X48" s="5"/>
      <c r="Y48" s="5"/>
    </row>
    <row r="50" spans="3:23" x14ac:dyDescent="0.25">
      <c r="W50" s="51"/>
    </row>
    <row r="51" spans="3:23" x14ac:dyDescent="0.25">
      <c r="C51" s="5">
        <f>C36*400</f>
        <v>7720000</v>
      </c>
      <c r="V51" s="1">
        <f>SUM(V2:V21)</f>
        <v>13300.013203125</v>
      </c>
    </row>
    <row r="52" spans="3:23" x14ac:dyDescent="0.25">
      <c r="V52" s="1">
        <f>+V51*400</f>
        <v>5320005.28125</v>
      </c>
    </row>
    <row r="53" spans="3:23" x14ac:dyDescent="0.25">
      <c r="V53" s="1"/>
    </row>
    <row r="54" spans="3:23" x14ac:dyDescent="0.25">
      <c r="C54" s="5">
        <f>+V56-C51</f>
        <v>5728800</v>
      </c>
      <c r="V54" s="1">
        <v>2650800</v>
      </c>
    </row>
    <row r="55" spans="3:23" x14ac:dyDescent="0.25">
      <c r="V55" s="1">
        <v>10798000</v>
      </c>
    </row>
    <row r="56" spans="3:23" x14ac:dyDescent="0.25">
      <c r="V56" s="2">
        <f>SUM(V54:V55)</f>
        <v>13448800</v>
      </c>
    </row>
    <row r="57" spans="3:23" x14ac:dyDescent="0.25">
      <c r="C57" s="5">
        <f>+C54-C51</f>
        <v>-1991200</v>
      </c>
      <c r="V57" s="1"/>
    </row>
    <row r="58" spans="3:23" x14ac:dyDescent="0.25">
      <c r="V58" s="1">
        <f>+V56-V52</f>
        <v>8128794.71875</v>
      </c>
    </row>
    <row r="59" spans="3:23" x14ac:dyDescent="0.25">
      <c r="V59" s="5">
        <f>+V58-V52</f>
        <v>2808789.4375</v>
      </c>
    </row>
  </sheetData>
  <autoFilter ref="A1:AI50" xr:uid="{B1311199-8922-41FD-A55A-639E2B27EAC6}"/>
  <conditionalFormatting sqref="A38:XFD42 A2:XFD35">
    <cfRule type="cellIs" dxfId="2" priority="1" operator="lessThan">
      <formula>0</formula>
    </cfRule>
  </conditionalFormatting>
  <pageMargins left="0.7" right="0.7" top="0.75" bottom="0.75" header="0.3" footer="0.3"/>
  <pageSetup scale="48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B8C6-3678-4F5C-A67C-FDB2E8F62604}">
  <dimension ref="A1:H47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6" sqref="H16"/>
    </sheetView>
  </sheetViews>
  <sheetFormatPr baseColWidth="10" defaultRowHeight="15" x14ac:dyDescent="0.25"/>
  <cols>
    <col min="1" max="1" width="10.140625" bestFit="1" customWidth="1"/>
    <col min="2" max="2" width="38.5703125" bestFit="1" customWidth="1"/>
    <col min="3" max="3" width="11.42578125" customWidth="1"/>
    <col min="4" max="4" width="13.42578125" customWidth="1"/>
    <col min="5" max="5" width="14.7109375" customWidth="1"/>
    <col min="6" max="6" width="14" style="66" bestFit="1" customWidth="1"/>
    <col min="8" max="8" width="21" bestFit="1" customWidth="1"/>
  </cols>
  <sheetData>
    <row r="1" spans="1:8" ht="53.25" customHeight="1" x14ac:dyDescent="0.25">
      <c r="A1" s="25" t="s">
        <v>0</v>
      </c>
      <c r="B1" s="25" t="s">
        <v>1</v>
      </c>
      <c r="C1" s="26" t="s">
        <v>110</v>
      </c>
      <c r="D1" s="26" t="s">
        <v>107</v>
      </c>
      <c r="E1" s="26" t="s">
        <v>88</v>
      </c>
      <c r="F1" s="25" t="s">
        <v>112</v>
      </c>
    </row>
    <row r="2" spans="1:8" x14ac:dyDescent="0.25">
      <c r="A2" t="s">
        <v>10</v>
      </c>
      <c r="B2" t="s">
        <v>11</v>
      </c>
      <c r="C2" s="60">
        <f>+VLOOKUP(A2,'ANALISIS PROD'!$A$2:$Y$46,22,FALSE)</f>
        <v>785.103515625</v>
      </c>
      <c r="D2" s="60">
        <f>+VLOOKUP(A2,'ANALISIS PROD'!$A$2:$Y$46,21,FALSE)</f>
        <v>732.03125</v>
      </c>
      <c r="E2" s="60">
        <f>+VLOOKUP(A2,'ANALISIS PROD'!$A$2:$Y$46,23,FALSE)</f>
        <v>235.5</v>
      </c>
      <c r="F2" s="63">
        <f>+C2-E2</f>
        <v>549.603515625</v>
      </c>
    </row>
    <row r="3" spans="1:8" x14ac:dyDescent="0.25">
      <c r="A3" t="s">
        <v>12</v>
      </c>
      <c r="B3" t="s">
        <v>13</v>
      </c>
      <c r="C3" s="60">
        <f>+VLOOKUP(A3,'ANALISIS PROD'!$A$2:$Y$46,22,FALSE)</f>
        <v>594.86882812500005</v>
      </c>
      <c r="D3" s="60">
        <f>+VLOOKUP(A3,'ANALISIS PROD'!$A$2:$Y$46,21,FALSE)</f>
        <v>554.65625</v>
      </c>
      <c r="E3" s="60">
        <f>+VLOOKUP(A3,'ANALISIS PROD'!$A$2:$Y$46,23,FALSE)</f>
        <v>223.5</v>
      </c>
      <c r="F3" s="63">
        <f>+C3-E3</f>
        <v>371.36882812500005</v>
      </c>
    </row>
    <row r="4" spans="1:8" x14ac:dyDescent="0.25">
      <c r="A4" t="s">
        <v>18</v>
      </c>
      <c r="B4" t="s">
        <v>19</v>
      </c>
      <c r="C4" s="60">
        <f>+VLOOKUP(A4,'ANALISIS PROD'!$A$2:$Y$46,22,FALSE)</f>
        <v>57.345234374999997</v>
      </c>
      <c r="D4" s="60">
        <f>+VLOOKUP(A4,'ANALISIS PROD'!$A$2:$Y$46,21,FALSE)</f>
        <v>53.46875</v>
      </c>
      <c r="E4" s="60">
        <f>+VLOOKUP(A4,'ANALISIS PROD'!$A$2:$Y$46,23,FALSE)</f>
        <v>71</v>
      </c>
      <c r="F4" s="63">
        <f t="shared" ref="F4:F21" si="0">+C4-E4</f>
        <v>-13.654765625000003</v>
      </c>
    </row>
    <row r="5" spans="1:8" x14ac:dyDescent="0.25">
      <c r="A5" t="s">
        <v>20</v>
      </c>
      <c r="B5" t="s">
        <v>21</v>
      </c>
      <c r="C5" s="60">
        <f>+VLOOKUP(A5,'ANALISIS PROD'!$A$2:$Y$46,22,FALSE)</f>
        <v>10.8590625</v>
      </c>
      <c r="D5" s="60">
        <f>+VLOOKUP(A5,'ANALISIS PROD'!$A$2:$Y$46,21,FALSE)</f>
        <v>10.125</v>
      </c>
      <c r="E5" s="60">
        <f>+VLOOKUP(A5,'ANALISIS PROD'!$A$2:$Y$46,23,FALSE)</f>
        <v>10</v>
      </c>
      <c r="F5" s="63">
        <f t="shared" si="0"/>
        <v>0.85906250000000028</v>
      </c>
      <c r="H5" s="73"/>
    </row>
    <row r="6" spans="1:8" x14ac:dyDescent="0.25">
      <c r="A6" t="s">
        <v>26</v>
      </c>
      <c r="B6" t="s">
        <v>27</v>
      </c>
      <c r="C6" s="60">
        <f>+VLOOKUP(A6,'ANALISIS PROD'!$A$2:$Y$46,22,FALSE)</f>
        <v>502.66734374999999</v>
      </c>
      <c r="D6" s="60">
        <f>+VLOOKUP(A6,'ANALISIS PROD'!$A$2:$Y$46,21,FALSE)</f>
        <v>468.6875</v>
      </c>
      <c r="E6" s="60">
        <f>+VLOOKUP(A6,'ANALISIS PROD'!$A$2:$Y$46,23,FALSE)</f>
        <v>179</v>
      </c>
      <c r="F6" s="63">
        <f>+C6-E6</f>
        <v>323.66734374999999</v>
      </c>
    </row>
    <row r="7" spans="1:8" x14ac:dyDescent="0.25">
      <c r="A7" t="s">
        <v>28</v>
      </c>
      <c r="B7" t="s">
        <v>29</v>
      </c>
      <c r="C7" s="60">
        <f>+VLOOKUP(A7,'ANALISIS PROD'!$A$2:$Y$46,22,FALSE)</f>
        <v>93.910781249999999</v>
      </c>
      <c r="D7" s="60">
        <f>+VLOOKUP(A7,'ANALISIS PROD'!$A$2:$Y$46,21,FALSE)</f>
        <v>87.5625</v>
      </c>
      <c r="E7" s="60">
        <f>+VLOOKUP(A7,'ANALISIS PROD'!$A$2:$Y$46,23,FALSE)</f>
        <v>67</v>
      </c>
      <c r="F7" s="63">
        <f t="shared" si="0"/>
        <v>26.910781249999999</v>
      </c>
    </row>
    <row r="8" spans="1:8" x14ac:dyDescent="0.25">
      <c r="A8" t="s">
        <v>34</v>
      </c>
      <c r="B8" t="s">
        <v>35</v>
      </c>
      <c r="C8" s="60">
        <f>+VLOOKUP(A8,'ANALISIS PROD'!$A$2:$Y$46,22,FALSE)</f>
        <v>135.33609375</v>
      </c>
      <c r="D8" s="60">
        <f>+VLOOKUP(A8,'ANALISIS PROD'!$A$2:$Y$46,21,FALSE)</f>
        <v>126.1875</v>
      </c>
      <c r="E8" s="60">
        <f>+VLOOKUP(A8,'ANALISIS PROD'!$A$2:$Y$46,23,FALSE)</f>
        <v>83</v>
      </c>
      <c r="F8" s="63">
        <f t="shared" si="0"/>
        <v>52.336093750000003</v>
      </c>
    </row>
    <row r="9" spans="1:8" x14ac:dyDescent="0.25">
      <c r="A9" t="s">
        <v>90</v>
      </c>
      <c r="B9" t="s">
        <v>91</v>
      </c>
      <c r="C9" s="60">
        <f>+VLOOKUP(A9,'ANALISIS PROD'!$A$2:$Y$46,22,FALSE)</f>
        <v>0</v>
      </c>
      <c r="D9" s="60">
        <f>+VLOOKUP(A9,'ANALISIS PROD'!$A$2:$Y$46,21,FALSE)</f>
        <v>0</v>
      </c>
      <c r="E9" s="60">
        <f>+VLOOKUP(A9,'ANALISIS PROD'!$A$2:$Y$46,23,FALSE)</f>
        <v>0</v>
      </c>
      <c r="F9" s="63">
        <f t="shared" si="0"/>
        <v>0</v>
      </c>
    </row>
    <row r="10" spans="1:8" x14ac:dyDescent="0.25">
      <c r="A10" t="s">
        <v>36</v>
      </c>
      <c r="B10" t="s">
        <v>37</v>
      </c>
      <c r="C10" s="60">
        <f>+VLOOKUP(A10,'ANALISIS PROD'!$A$2:$Y$46,22,FALSE)</f>
        <v>1181.3587500000001</v>
      </c>
      <c r="D10" s="60">
        <f>+VLOOKUP(A10,'ANALISIS PROD'!$A$2:$Y$46,21,FALSE)</f>
        <v>1101.5</v>
      </c>
      <c r="E10" s="60">
        <f>+VLOOKUP(A10,'ANALISIS PROD'!$A$2:$Y$46,23,FALSE)</f>
        <v>497.5</v>
      </c>
      <c r="F10" s="63">
        <f t="shared" si="0"/>
        <v>683.8587500000001</v>
      </c>
    </row>
    <row r="11" spans="1:8" x14ac:dyDescent="0.25">
      <c r="A11" t="s">
        <v>38</v>
      </c>
      <c r="B11" t="s">
        <v>39</v>
      </c>
      <c r="C11" s="60">
        <f>+VLOOKUP(A11,'ANALISIS PROD'!$A$2:$Y$46,22,FALSE)</f>
        <v>3068.8917187500001</v>
      </c>
      <c r="D11" s="60">
        <f>+VLOOKUP(A11,'ANALISIS PROD'!$A$2:$Y$46,21,FALSE)</f>
        <v>2861.4375</v>
      </c>
      <c r="E11" s="60">
        <f>+VLOOKUP(A11,'ANALISIS PROD'!$A$2:$Y$46,23,FALSE)</f>
        <v>1225</v>
      </c>
      <c r="F11" s="63">
        <f t="shared" si="0"/>
        <v>1843.8917187500001</v>
      </c>
    </row>
    <row r="12" spans="1:8" x14ac:dyDescent="0.25">
      <c r="A12" t="s">
        <v>125</v>
      </c>
      <c r="B12" t="s">
        <v>126</v>
      </c>
      <c r="C12" s="60">
        <f>+VLOOKUP(A12,'ANALISIS PROD'!$A$2:$Y$46,22,FALSE)</f>
        <v>76.750781250000003</v>
      </c>
      <c r="D12" s="60">
        <f>+VLOOKUP(A12,'ANALISIS PROD'!$A$2:$Y$46,21,FALSE)</f>
        <v>71.5625</v>
      </c>
      <c r="E12" s="60">
        <f>+VLOOKUP(A12,'ANALISIS PROD'!$A$2:$Y$46,23,FALSE)</f>
        <v>62</v>
      </c>
      <c r="F12" s="63">
        <f t="shared" si="0"/>
        <v>14.750781250000003</v>
      </c>
    </row>
    <row r="13" spans="1:8" x14ac:dyDescent="0.25">
      <c r="A13" t="s">
        <v>46</v>
      </c>
      <c r="B13" t="s">
        <v>47</v>
      </c>
      <c r="C13" s="60">
        <f>+VLOOKUP(A13,'ANALISIS PROD'!$A$2:$Y$46,22,FALSE)</f>
        <v>1724.9821875</v>
      </c>
      <c r="D13" s="60">
        <f>+VLOOKUP(A13,'ANALISIS PROD'!$A$2:$Y$46,21,FALSE)</f>
        <v>1608.375</v>
      </c>
      <c r="E13" s="60">
        <f>+VLOOKUP(A13,'ANALISIS PROD'!$A$2:$Y$46,23,FALSE)</f>
        <v>389</v>
      </c>
      <c r="F13" s="64">
        <f t="shared" si="0"/>
        <v>1335.9821875</v>
      </c>
    </row>
    <row r="14" spans="1:8" x14ac:dyDescent="0.25">
      <c r="A14" t="s">
        <v>48</v>
      </c>
      <c r="B14" t="s">
        <v>49</v>
      </c>
      <c r="C14" s="60">
        <f>+VLOOKUP(A14,'ANALISIS PROD'!$A$2:$Y$46,22,FALSE)</f>
        <v>2011.4737500000001</v>
      </c>
      <c r="D14" s="60">
        <f>+VLOOKUP(A14,'ANALISIS PROD'!$A$2:$Y$46,21,FALSE)</f>
        <v>1875.5</v>
      </c>
      <c r="E14" s="60">
        <f>+VLOOKUP(A14,'ANALISIS PROD'!$A$2:$Y$46,23,FALSE)</f>
        <v>650.5</v>
      </c>
      <c r="F14" s="64">
        <f t="shared" si="0"/>
        <v>1360.9737500000001</v>
      </c>
    </row>
    <row r="15" spans="1:8" x14ac:dyDescent="0.25">
      <c r="A15" t="s">
        <v>98</v>
      </c>
      <c r="B15" t="s">
        <v>99</v>
      </c>
      <c r="C15" s="60">
        <f>+VLOOKUP(A15,'ANALISIS PROD'!$A$2:$Y$46,22,FALSE)</f>
        <v>225.02390625000001</v>
      </c>
      <c r="D15" s="60">
        <f>+VLOOKUP(A15,'ANALISIS PROD'!$A$2:$Y$46,21,FALSE)</f>
        <v>209.8125</v>
      </c>
      <c r="E15" s="60">
        <f>+VLOOKUP(A15,'ANALISIS PROD'!$A$2:$Y$46,23,FALSE)</f>
        <v>57</v>
      </c>
      <c r="F15" s="63">
        <f t="shared" si="0"/>
        <v>168.02390625000001</v>
      </c>
    </row>
    <row r="16" spans="1:8" x14ac:dyDescent="0.25">
      <c r="A16" t="s">
        <v>44</v>
      </c>
      <c r="B16" t="s">
        <v>45</v>
      </c>
      <c r="C16" s="60">
        <f>+VLOOKUP(A16,'ANALISIS PROD'!$A$2:$Y$46,22,FALSE)</f>
        <v>11.99859375</v>
      </c>
      <c r="D16" s="60">
        <f>+VLOOKUP(A16,'ANALISIS PROD'!$A$2:$Y$46,21,FALSE)</f>
        <v>11.1875</v>
      </c>
      <c r="E16" s="60">
        <f>+VLOOKUP(A16,'ANALISIS PROD'!$A$2:$Y$46,23,FALSE)</f>
        <v>11</v>
      </c>
      <c r="F16" s="63">
        <f t="shared" si="0"/>
        <v>0.9985937499999995</v>
      </c>
    </row>
    <row r="17" spans="1:6" x14ac:dyDescent="0.25">
      <c r="A17" t="s">
        <v>54</v>
      </c>
      <c r="B17" t="s">
        <v>55</v>
      </c>
      <c r="C17" s="60">
        <f>+VLOOKUP(A17,'ANALISIS PROD'!$A$2:$Y$46,22,FALSE)</f>
        <v>4.8674999999999997</v>
      </c>
      <c r="D17" s="60">
        <f>+VLOOKUP(A17,'ANALISIS PROD'!$A$2:$Y$46,21,FALSE)</f>
        <v>4.5384615384615383</v>
      </c>
      <c r="E17" s="60">
        <f>+VLOOKUP(A17,'ANALISIS PROD'!$A$2:$Y$46,23,FALSE)</f>
        <v>3</v>
      </c>
      <c r="F17" s="63">
        <f t="shared" si="0"/>
        <v>1.8674999999999997</v>
      </c>
    </row>
    <row r="18" spans="1:6" x14ac:dyDescent="0.25">
      <c r="A18" t="s">
        <v>56</v>
      </c>
      <c r="B18" t="s">
        <v>57</v>
      </c>
      <c r="C18" s="60">
        <f>+VLOOKUP(A18,'ANALISIS PROD'!$A$2:$Y$46,22,FALSE)</f>
        <v>1003.7259375</v>
      </c>
      <c r="D18" s="60">
        <f>+VLOOKUP(A18,'ANALISIS PROD'!$A$2:$Y$46,21,FALSE)</f>
        <v>935.875</v>
      </c>
      <c r="E18" s="60">
        <f>+VLOOKUP(A18,'ANALISIS PROD'!$A$2:$Y$46,23,FALSE)</f>
        <v>187.5</v>
      </c>
      <c r="F18" s="64">
        <f t="shared" si="0"/>
        <v>816.22593749999999</v>
      </c>
    </row>
    <row r="19" spans="1:6" x14ac:dyDescent="0.25">
      <c r="A19" t="s">
        <v>58</v>
      </c>
      <c r="B19" t="s">
        <v>59</v>
      </c>
      <c r="C19" s="60">
        <f>+VLOOKUP(A19,'ANALISIS PROD'!$A$2:$Y$46,22,FALSE)</f>
        <v>711.73781250000002</v>
      </c>
      <c r="D19" s="60">
        <f>+VLOOKUP(A19,'ANALISIS PROD'!$A$2:$Y$46,21,FALSE)</f>
        <v>663.625</v>
      </c>
      <c r="E19" s="60">
        <f>+VLOOKUP(A19,'ANALISIS PROD'!$A$2:$Y$46,23,FALSE)</f>
        <v>250</v>
      </c>
      <c r="F19" s="64">
        <f t="shared" si="0"/>
        <v>461.73781250000002</v>
      </c>
    </row>
    <row r="20" spans="1:6" x14ac:dyDescent="0.25">
      <c r="A20" t="s">
        <v>60</v>
      </c>
      <c r="B20" t="s">
        <v>61</v>
      </c>
      <c r="C20" s="60">
        <f>+VLOOKUP(A20,'ANALISIS PROD'!$A$2:$Y$46,22,FALSE)</f>
        <v>567.98929687500004</v>
      </c>
      <c r="D20" s="60">
        <f>+VLOOKUP(A20,'ANALISIS PROD'!$A$2:$Y$46,21,FALSE)</f>
        <v>529.59375</v>
      </c>
      <c r="E20" s="60">
        <f>+VLOOKUP(A20,'ANALISIS PROD'!$A$2:$Y$46,23,FALSE)</f>
        <v>137</v>
      </c>
      <c r="F20" s="64">
        <f t="shared" si="0"/>
        <v>430.98929687500004</v>
      </c>
    </row>
    <row r="21" spans="1:6" x14ac:dyDescent="0.25">
      <c r="A21" t="s">
        <v>62</v>
      </c>
      <c r="B21" t="s">
        <v>63</v>
      </c>
      <c r="C21" s="60">
        <f>+VLOOKUP(A21,'ANALISIS PROD'!$A$2:$Y$46,22,FALSE)</f>
        <v>531.12210937500004</v>
      </c>
      <c r="D21" s="60">
        <f>+VLOOKUP(A21,'ANALISIS PROD'!$A$2:$Y$46,21,FALSE)</f>
        <v>495.21875</v>
      </c>
      <c r="E21" s="60">
        <f>+VLOOKUP(A21,'ANALISIS PROD'!$A$2:$Y$46,23,FALSE)</f>
        <v>162.5</v>
      </c>
      <c r="F21" s="63">
        <f t="shared" si="0"/>
        <v>368.62210937500004</v>
      </c>
    </row>
    <row r="22" spans="1:6" x14ac:dyDescent="0.25">
      <c r="C22" s="60"/>
      <c r="D22" s="61"/>
      <c r="E22" s="61"/>
      <c r="F22" s="65"/>
    </row>
    <row r="23" spans="1:6" x14ac:dyDescent="0.25">
      <c r="A23" s="16"/>
      <c r="B23" s="16" t="s">
        <v>141</v>
      </c>
      <c r="C23" s="62">
        <f>SUM(C2:C21)</f>
        <v>13300.013203125</v>
      </c>
      <c r="D23" s="62">
        <f>SUM(D2:D21)</f>
        <v>12400.944711538461</v>
      </c>
      <c r="E23" s="62">
        <f>SUM(E2:E21)</f>
        <v>4501</v>
      </c>
      <c r="F23" s="65"/>
    </row>
    <row r="24" spans="1:6" x14ac:dyDescent="0.25">
      <c r="A24" s="16"/>
      <c r="B24" s="16"/>
      <c r="C24" s="62"/>
      <c r="D24" s="62"/>
      <c r="E24" s="62"/>
      <c r="F24" s="65"/>
    </row>
    <row r="25" spans="1:6" x14ac:dyDescent="0.25">
      <c r="A25" t="s">
        <v>14</v>
      </c>
      <c r="B25" t="s">
        <v>15</v>
      </c>
      <c r="C25" s="60">
        <f>+VLOOKUP(A25,'ANALISIS PROD'!$A$2:$Y$46,22,FALSE)</f>
        <v>510.91218750000002</v>
      </c>
      <c r="D25" s="60">
        <f>+VLOOKUP(A25,'ANALISIS PROD'!$A$2:$Y$46,21,FALSE)</f>
        <v>476.375</v>
      </c>
      <c r="E25" s="60">
        <f>+VLOOKUP(A25,'ANALISIS PROD'!$A$2:$Y$46,23,FALSE)</f>
        <v>135</v>
      </c>
      <c r="F25" s="63">
        <f t="shared" ref="F25:F37" si="1">+C25-E25</f>
        <v>375.91218750000002</v>
      </c>
    </row>
    <row r="26" spans="1:6" x14ac:dyDescent="0.25">
      <c r="A26" t="s">
        <v>16</v>
      </c>
      <c r="B26" t="s">
        <v>17</v>
      </c>
      <c r="C26" s="60">
        <f>+VLOOKUP(A26,'ANALISIS PROD'!$A$2:$Y$46,22,FALSE)</f>
        <v>941.99015625000004</v>
      </c>
      <c r="D26" s="60">
        <f>+VLOOKUP(A26,'ANALISIS PROD'!$A$2:$Y$46,21,FALSE)</f>
        <v>878.3125</v>
      </c>
      <c r="E26" s="60">
        <f>+VLOOKUP(A26,'ANALISIS PROD'!$A$2:$Y$46,23,FALSE)</f>
        <v>157</v>
      </c>
      <c r="F26" s="63">
        <f t="shared" si="1"/>
        <v>784.99015625000004</v>
      </c>
    </row>
    <row r="27" spans="1:6" x14ac:dyDescent="0.25">
      <c r="A27" t="s">
        <v>22</v>
      </c>
      <c r="B27" t="s">
        <v>23</v>
      </c>
      <c r="C27" s="60">
        <f>+VLOOKUP(A27,'ANALISIS PROD'!$A$2:$Y$46,22,FALSE)</f>
        <v>102.49078125</v>
      </c>
      <c r="D27" s="60">
        <f>+VLOOKUP(A27,'ANALISIS PROD'!$A$2:$Y$46,21,FALSE)</f>
        <v>95.5625</v>
      </c>
      <c r="E27" s="60">
        <f>+VLOOKUP(A27,'ANALISIS PROD'!$A$2:$Y$46,23,FALSE)</f>
        <v>45</v>
      </c>
      <c r="F27" s="63">
        <f t="shared" si="1"/>
        <v>57.490781249999998</v>
      </c>
    </row>
    <row r="28" spans="1:6" x14ac:dyDescent="0.25">
      <c r="A28" t="s">
        <v>24</v>
      </c>
      <c r="B28" t="s">
        <v>25</v>
      </c>
      <c r="C28" s="60">
        <f>+VLOOKUP(A28,'ANALISIS PROD'!$A$2:$Y$46,22,FALSE)</f>
        <v>55.434843749999999</v>
      </c>
      <c r="D28" s="60">
        <f>+VLOOKUP(A28,'ANALISIS PROD'!$A$2:$Y$46,21,FALSE)</f>
        <v>51.6875</v>
      </c>
      <c r="E28" s="60">
        <f>+VLOOKUP(A28,'ANALISIS PROD'!$A$2:$Y$46,23,FALSE)</f>
        <v>0</v>
      </c>
      <c r="F28" s="63">
        <f t="shared" si="1"/>
        <v>55.434843749999999</v>
      </c>
    </row>
    <row r="29" spans="1:6" x14ac:dyDescent="0.25">
      <c r="A29" t="s">
        <v>30</v>
      </c>
      <c r="B29" t="s">
        <v>31</v>
      </c>
      <c r="C29" s="60">
        <f>+VLOOKUP(A29,'ANALISIS PROD'!$A$2:$Y$46,22,FALSE)</f>
        <v>38.811093749999998</v>
      </c>
      <c r="D29" s="60">
        <f>+VLOOKUP(A29,'ANALISIS PROD'!$A$2:$Y$46,21,FALSE)</f>
        <v>36.1875</v>
      </c>
      <c r="E29" s="60">
        <f>+VLOOKUP(A29,'ANALISIS PROD'!$A$2:$Y$46,23,FALSE)</f>
        <v>47</v>
      </c>
      <c r="F29" s="63">
        <f t="shared" si="1"/>
        <v>-8.1889062500000023</v>
      </c>
    </row>
    <row r="30" spans="1:6" x14ac:dyDescent="0.25">
      <c r="A30" t="s">
        <v>32</v>
      </c>
      <c r="B30" t="s">
        <v>33</v>
      </c>
      <c r="C30" s="60">
        <f>+VLOOKUP(A30,'ANALISIS PROD'!$A$2:$Y$46,22,FALSE)</f>
        <v>38.774999999999999</v>
      </c>
      <c r="D30" s="60">
        <f>+VLOOKUP(A30,'ANALISIS PROD'!$A$2:$Y$46,21,FALSE)</f>
        <v>36.153846153846153</v>
      </c>
      <c r="E30" s="60">
        <f>+VLOOKUP(A30,'ANALISIS PROD'!$A$2:$Y$46,23,FALSE)</f>
        <v>0</v>
      </c>
      <c r="F30" s="63">
        <f t="shared" si="1"/>
        <v>38.774999999999999</v>
      </c>
    </row>
    <row r="31" spans="1:6" x14ac:dyDescent="0.25">
      <c r="A31" t="s">
        <v>40</v>
      </c>
      <c r="B31" t="s">
        <v>41</v>
      </c>
      <c r="C31" s="60">
        <f>+VLOOKUP(A31,'ANALISIS PROD'!$A$2:$Y$46,22,FALSE)</f>
        <v>681.84187499999996</v>
      </c>
      <c r="D31" s="60">
        <f>+VLOOKUP(A31,'ANALISIS PROD'!$A$2:$Y$46,21,FALSE)</f>
        <v>635.75</v>
      </c>
      <c r="E31" s="60">
        <f>+VLOOKUP(A31,'ANALISIS PROD'!$A$2:$Y$46,23,FALSE)</f>
        <v>189</v>
      </c>
      <c r="F31" s="64">
        <f t="shared" si="1"/>
        <v>492.84187499999996</v>
      </c>
    </row>
    <row r="32" spans="1:6" x14ac:dyDescent="0.25">
      <c r="A32" t="s">
        <v>42</v>
      </c>
      <c r="B32" t="s">
        <v>43</v>
      </c>
      <c r="C32" s="60">
        <f>+VLOOKUP(A32,'ANALISIS PROD'!$A$2:$Y$46,22,FALSE)</f>
        <v>729.09890625000003</v>
      </c>
      <c r="D32" s="60">
        <f>+VLOOKUP(A32,'ANALISIS PROD'!$A$2:$Y$46,21,FALSE)</f>
        <v>679.8125</v>
      </c>
      <c r="E32" s="60">
        <f>+VLOOKUP(A32,'ANALISIS PROD'!$A$2:$Y$46,23,FALSE)</f>
        <v>206</v>
      </c>
      <c r="F32" s="63">
        <f t="shared" si="1"/>
        <v>523.09890625000003</v>
      </c>
    </row>
    <row r="33" spans="1:6" x14ac:dyDescent="0.25">
      <c r="A33" t="s">
        <v>50</v>
      </c>
      <c r="B33" t="s">
        <v>51</v>
      </c>
      <c r="C33" s="60">
        <f>+VLOOKUP(A33,'ANALISIS PROD'!$A$2:$Y$46,22,FALSE)</f>
        <v>370.74984374999997</v>
      </c>
      <c r="D33" s="60">
        <f>+VLOOKUP(A33,'ANALISIS PROD'!$A$2:$Y$46,21,FALSE)</f>
        <v>345.6875</v>
      </c>
      <c r="E33" s="60">
        <f>+VLOOKUP(A33,'ANALISIS PROD'!$A$2:$Y$46,23,FALSE)</f>
        <v>92</v>
      </c>
      <c r="F33" s="64">
        <f t="shared" si="1"/>
        <v>278.74984374999997</v>
      </c>
    </row>
    <row r="34" spans="1:6" x14ac:dyDescent="0.25">
      <c r="A34" t="s">
        <v>52</v>
      </c>
      <c r="B34" t="s">
        <v>53</v>
      </c>
      <c r="C34" s="60">
        <f>+VLOOKUP(A34,'ANALISIS PROD'!$A$2:$Y$46,22,FALSE)</f>
        <v>200.89265624999999</v>
      </c>
      <c r="D34" s="60">
        <f>+VLOOKUP(A34,'ANALISIS PROD'!$A$2:$Y$46,21,FALSE)</f>
        <v>187.3125</v>
      </c>
      <c r="E34" s="60">
        <f>+VLOOKUP(A34,'ANALISIS PROD'!$A$2:$Y$46,23,FALSE)</f>
        <v>77</v>
      </c>
      <c r="F34" s="64">
        <f t="shared" si="1"/>
        <v>123.89265624999999</v>
      </c>
    </row>
    <row r="35" spans="1:6" x14ac:dyDescent="0.25">
      <c r="A35" t="s">
        <v>64</v>
      </c>
      <c r="B35" t="s">
        <v>65</v>
      </c>
      <c r="C35" s="60">
        <f>+VLOOKUP(A35,'ANALISIS PROD'!$A$2:$Y$46,22,FALSE)</f>
        <v>204.043125</v>
      </c>
      <c r="D35" s="60">
        <f>+VLOOKUP(A35,'ANALISIS PROD'!$A$2:$Y$46,21,FALSE)</f>
        <v>190.25</v>
      </c>
      <c r="E35" s="60">
        <f>+VLOOKUP(A35,'ANALISIS PROD'!$A$2:$Y$46,23,FALSE)</f>
        <v>30</v>
      </c>
      <c r="F35" s="63">
        <f t="shared" si="1"/>
        <v>174.043125</v>
      </c>
    </row>
    <row r="36" spans="1:6" x14ac:dyDescent="0.25">
      <c r="A36" t="s">
        <v>76</v>
      </c>
      <c r="B36" t="s">
        <v>77</v>
      </c>
      <c r="C36" s="60">
        <f>+VLOOKUP(A36,'ANALISIS PROD'!$A$2:$Y$46,22,FALSE)</f>
        <v>108.7246875</v>
      </c>
      <c r="D36" s="60">
        <f>+VLOOKUP(A36,'ANALISIS PROD'!$A$2:$Y$46,21,FALSE)</f>
        <v>101.375</v>
      </c>
      <c r="E36" s="60">
        <f>+VLOOKUP(A36,'ANALISIS PROD'!$A$2:$Y$46,23,FALSE)</f>
        <v>73</v>
      </c>
      <c r="F36" s="63">
        <f t="shared" si="1"/>
        <v>35.724687500000002</v>
      </c>
    </row>
    <row r="37" spans="1:6" x14ac:dyDescent="0.25">
      <c r="A37" t="s">
        <v>78</v>
      </c>
      <c r="B37" t="s">
        <v>79</v>
      </c>
      <c r="C37" s="60">
        <f>+VLOOKUP(A37,'ANALISIS PROD'!$A$2:$Y$46,22,FALSE)</f>
        <v>91.564687500000005</v>
      </c>
      <c r="D37" s="60">
        <f>+VLOOKUP(A37,'ANALISIS PROD'!$A$2:$Y$46,21,FALSE)</f>
        <v>85.375</v>
      </c>
      <c r="E37" s="60">
        <f>+VLOOKUP(A37,'ANALISIS PROD'!$A$2:$Y$46,23,FALSE)</f>
        <v>30</v>
      </c>
      <c r="F37" s="63">
        <f t="shared" si="1"/>
        <v>61.564687500000005</v>
      </c>
    </row>
    <row r="38" spans="1:6" x14ac:dyDescent="0.25">
      <c r="C38" s="60"/>
      <c r="D38" s="61"/>
      <c r="E38" s="61"/>
      <c r="F38" s="65"/>
    </row>
    <row r="39" spans="1:6" x14ac:dyDescent="0.25">
      <c r="B39" s="4" t="s">
        <v>142</v>
      </c>
      <c r="C39" s="62">
        <f>SUM(C25:C37)</f>
        <v>4075.3298437500007</v>
      </c>
      <c r="D39" s="62">
        <f>SUM(D25:D37)</f>
        <v>3799.8413461538462</v>
      </c>
      <c r="E39" s="62">
        <f>SUM(E25:E37)</f>
        <v>1081</v>
      </c>
      <c r="F39" s="65"/>
    </row>
    <row r="40" spans="1:6" x14ac:dyDescent="0.25">
      <c r="C40" s="60"/>
      <c r="D40" s="61"/>
      <c r="E40" s="61"/>
      <c r="F40" s="65"/>
    </row>
    <row r="41" spans="1:6" x14ac:dyDescent="0.25">
      <c r="A41" t="s">
        <v>66</v>
      </c>
      <c r="B41" t="s">
        <v>67</v>
      </c>
      <c r="C41" s="60">
        <f>+VLOOKUP(A41,'ANALISIS PROD'!$A$2:$Y$46,22,FALSE)</f>
        <v>133.59328124999999</v>
      </c>
      <c r="D41" s="60">
        <f>+VLOOKUP(A41,'ANALISIS PROD'!$A$2:$Y$46,21,FALSE)</f>
        <v>124.5625</v>
      </c>
      <c r="E41" s="60">
        <f>+VLOOKUP(A41,'ANALISIS PROD'!$A$2:$Y$46,23,FALSE)</f>
        <v>51</v>
      </c>
      <c r="F41" s="63">
        <f t="shared" ref="F41:F45" si="2">+C41-E41</f>
        <v>82.59328124999999</v>
      </c>
    </row>
    <row r="42" spans="1:6" x14ac:dyDescent="0.25">
      <c r="A42" t="s">
        <v>68</v>
      </c>
      <c r="B42" t="s">
        <v>69</v>
      </c>
      <c r="C42" s="60">
        <f>+VLOOKUP(A42,'ANALISIS PROD'!$A$2:$Y$46,22,FALSE)</f>
        <v>42.564843750000001</v>
      </c>
      <c r="D42" s="60">
        <f>+VLOOKUP(A42,'ANALISIS PROD'!$A$2:$Y$46,21,FALSE)</f>
        <v>39.6875</v>
      </c>
      <c r="E42" s="60">
        <f>+VLOOKUP(A42,'ANALISIS PROD'!$A$2:$Y$46,23,FALSE)</f>
        <v>106</v>
      </c>
      <c r="F42" s="63">
        <f t="shared" si="2"/>
        <v>-63.435156249999999</v>
      </c>
    </row>
    <row r="43" spans="1:6" x14ac:dyDescent="0.25">
      <c r="A43" t="s">
        <v>70</v>
      </c>
      <c r="B43" t="s">
        <v>71</v>
      </c>
      <c r="C43" s="60">
        <f>+VLOOKUP(A43,'ANALISIS PROD'!$A$2:$Y$46,22,FALSE)</f>
        <v>16.824843749999999</v>
      </c>
      <c r="D43" s="60">
        <f>+VLOOKUP(A43,'ANALISIS PROD'!$A$2:$Y$46,21,FALSE)</f>
        <v>15.6875</v>
      </c>
      <c r="E43" s="60">
        <f>+VLOOKUP(A43,'ANALISIS PROD'!$A$2:$Y$46,23,FALSE)</f>
        <v>45</v>
      </c>
      <c r="F43" s="63">
        <f t="shared" si="2"/>
        <v>-28.175156250000001</v>
      </c>
    </row>
    <row r="44" spans="1:6" x14ac:dyDescent="0.25">
      <c r="A44" t="s">
        <v>72</v>
      </c>
      <c r="B44" t="s">
        <v>73</v>
      </c>
      <c r="C44" s="60">
        <f>+VLOOKUP(A44,'ANALISIS PROD'!$A$2:$Y$46,22,FALSE)</f>
        <v>49.4690625</v>
      </c>
      <c r="D44" s="60">
        <f>+VLOOKUP(A44,'ANALISIS PROD'!$A$2:$Y$46,21,FALSE)</f>
        <v>46.125</v>
      </c>
      <c r="E44" s="60">
        <f>+VLOOKUP(A44,'ANALISIS PROD'!$A$2:$Y$46,23,FALSE)</f>
        <v>20</v>
      </c>
      <c r="F44" s="63">
        <f t="shared" si="2"/>
        <v>29.4690625</v>
      </c>
    </row>
    <row r="45" spans="1:6" x14ac:dyDescent="0.25">
      <c r="A45" t="s">
        <v>74</v>
      </c>
      <c r="B45" t="s">
        <v>75</v>
      </c>
      <c r="C45" s="60">
        <f>+VLOOKUP(A45,'ANALISIS PROD'!$A$2:$Y$46,22,FALSE)</f>
        <v>652.48218750000001</v>
      </c>
      <c r="D45" s="60">
        <f>+VLOOKUP(A45,'ANALISIS PROD'!$A$2:$Y$46,21,FALSE)</f>
        <v>608.375</v>
      </c>
      <c r="E45" s="60">
        <f>+VLOOKUP(A45,'ANALISIS PROD'!$A$2:$Y$46,23,FALSE)</f>
        <v>127</v>
      </c>
      <c r="F45" s="63">
        <f t="shared" si="2"/>
        <v>525.48218750000001</v>
      </c>
    </row>
    <row r="46" spans="1:6" x14ac:dyDescent="0.25">
      <c r="C46" s="60"/>
      <c r="D46" s="61"/>
      <c r="E46" s="61"/>
      <c r="F46" s="62"/>
    </row>
    <row r="47" spans="1:6" x14ac:dyDescent="0.25">
      <c r="C47" s="62">
        <f>SUM(C41:C46)</f>
        <v>894.93421875000001</v>
      </c>
      <c r="D47" s="62">
        <f>SUM(D41:D46)</f>
        <v>834.4375</v>
      </c>
      <c r="E47" s="62">
        <f>SUM(E41:E46)</f>
        <v>349</v>
      </c>
      <c r="F47" s="62"/>
    </row>
  </sheetData>
  <conditionalFormatting sqref="A2:B38 B39 A41:B45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3DED-975C-427E-94B3-D7A881454616}">
  <sheetPr codeName="Hoja3"/>
  <dimension ref="A1:M43"/>
  <sheetViews>
    <sheetView topLeftCell="A10" workbookViewId="0">
      <selection activeCell="E2" sqref="E2:E40"/>
    </sheetView>
  </sheetViews>
  <sheetFormatPr baseColWidth="10" defaultRowHeight="15" x14ac:dyDescent="0.25"/>
  <cols>
    <col min="2" max="2" width="32.85546875" bestFit="1" customWidth="1"/>
  </cols>
  <sheetData>
    <row r="1" spans="1:13" ht="15.75" thickBot="1" x14ac:dyDescent="0.3">
      <c r="A1" s="7" t="s">
        <v>92</v>
      </c>
      <c r="B1" s="7" t="s">
        <v>93</v>
      </c>
      <c r="C1" s="7" t="s">
        <v>94</v>
      </c>
      <c r="D1" s="8" t="s">
        <v>95</v>
      </c>
      <c r="E1" s="8" t="s">
        <v>96</v>
      </c>
      <c r="I1" s="57"/>
      <c r="J1" s="57"/>
      <c r="K1" s="57"/>
      <c r="L1" s="57"/>
      <c r="M1" s="57"/>
    </row>
    <row r="2" spans="1:13" ht="15.75" thickBot="1" x14ac:dyDescent="0.3">
      <c r="A2" s="9" t="s">
        <v>10</v>
      </c>
      <c r="B2" s="10" t="s">
        <v>11</v>
      </c>
      <c r="C2" s="11">
        <v>2874</v>
      </c>
      <c r="D2" s="12" t="s">
        <v>148</v>
      </c>
      <c r="E2" s="12">
        <v>235.5</v>
      </c>
      <c r="F2" t="str">
        <f>+VLOOKUP(A2,'ANALISIS PROD'!$A$2:$A$43,1,FALSE)</f>
        <v>PT10001</v>
      </c>
      <c r="I2" s="7" t="s">
        <v>92</v>
      </c>
      <c r="J2" s="7" t="s">
        <v>93</v>
      </c>
      <c r="K2" s="7" t="s">
        <v>94</v>
      </c>
      <c r="L2" s="8" t="s">
        <v>95</v>
      </c>
      <c r="M2" s="8" t="s">
        <v>96</v>
      </c>
    </row>
    <row r="3" spans="1:13" ht="15.75" thickBot="1" x14ac:dyDescent="0.3">
      <c r="A3" s="13" t="s">
        <v>12</v>
      </c>
      <c r="B3" s="14" t="s">
        <v>13</v>
      </c>
      <c r="C3" s="15" t="s">
        <v>149</v>
      </c>
      <c r="D3" s="12">
        <v>2175</v>
      </c>
      <c r="E3" s="12">
        <v>223.5</v>
      </c>
      <c r="F3" t="str">
        <f>+VLOOKUP(A3,'ANALISIS PROD'!$A$2:$A$43,1,FALSE)</f>
        <v>PT10002</v>
      </c>
      <c r="I3" s="9" t="s">
        <v>10</v>
      </c>
      <c r="J3" s="10" t="s">
        <v>11</v>
      </c>
      <c r="K3" s="11" t="s">
        <v>127</v>
      </c>
      <c r="L3" s="12" t="s">
        <v>128</v>
      </c>
      <c r="M3" s="12">
        <v>238</v>
      </c>
    </row>
    <row r="4" spans="1:13" ht="15.75" thickBot="1" x14ac:dyDescent="0.3">
      <c r="A4" s="9" t="s">
        <v>14</v>
      </c>
      <c r="B4" s="10" t="s">
        <v>15</v>
      </c>
      <c r="C4" s="11">
        <v>2278</v>
      </c>
      <c r="D4" s="12">
        <v>2143</v>
      </c>
      <c r="E4" s="12">
        <v>135</v>
      </c>
      <c r="F4" t="str">
        <f>+VLOOKUP(A4,'ANALISIS PROD'!$A$2:$A$43,1,FALSE)</f>
        <v>PT10003</v>
      </c>
      <c r="I4" s="13" t="s">
        <v>12</v>
      </c>
      <c r="J4" s="14" t="s">
        <v>13</v>
      </c>
      <c r="K4" s="15" t="s">
        <v>129</v>
      </c>
      <c r="L4" s="12" t="s">
        <v>130</v>
      </c>
      <c r="M4" s="12">
        <v>114</v>
      </c>
    </row>
    <row r="5" spans="1:13" ht="15.75" thickBot="1" x14ac:dyDescent="0.3">
      <c r="A5" s="13" t="s">
        <v>16</v>
      </c>
      <c r="B5" s="14" t="s">
        <v>17</v>
      </c>
      <c r="C5" s="15">
        <v>4067</v>
      </c>
      <c r="D5" s="12">
        <v>3910</v>
      </c>
      <c r="E5" s="12">
        <v>157</v>
      </c>
      <c r="F5" t="str">
        <f>+VLOOKUP(A5,'ANALISIS PROD'!$A$2:$A$43,1,FALSE)</f>
        <v>PT10004</v>
      </c>
      <c r="I5" s="9" t="s">
        <v>14</v>
      </c>
      <c r="J5" s="10" t="s">
        <v>15</v>
      </c>
      <c r="K5" s="11">
        <v>305</v>
      </c>
      <c r="L5" s="12">
        <v>217</v>
      </c>
      <c r="M5" s="12">
        <v>87</v>
      </c>
    </row>
    <row r="6" spans="1:13" ht="15.75" thickBot="1" x14ac:dyDescent="0.3">
      <c r="A6" s="9" t="s">
        <v>85</v>
      </c>
      <c r="B6" s="10" t="s">
        <v>97</v>
      </c>
      <c r="C6" s="11">
        <v>444</v>
      </c>
      <c r="D6" s="12">
        <v>375</v>
      </c>
      <c r="E6" s="12">
        <v>69</v>
      </c>
      <c r="F6" t="e">
        <f>+VLOOKUP(A6,'ANALISIS PROD'!$A$2:$A$43,1,FALSE)</f>
        <v>#N/A</v>
      </c>
      <c r="I6" s="13" t="s">
        <v>16</v>
      </c>
      <c r="J6" s="14" t="s">
        <v>17</v>
      </c>
      <c r="K6" s="15">
        <v>327</v>
      </c>
      <c r="L6" s="12">
        <v>147</v>
      </c>
      <c r="M6" s="12">
        <v>180</v>
      </c>
    </row>
    <row r="7" spans="1:13" ht="15.75" thickBot="1" x14ac:dyDescent="0.3">
      <c r="A7" s="13" t="s">
        <v>18</v>
      </c>
      <c r="B7" s="14" t="s">
        <v>19</v>
      </c>
      <c r="C7" s="15">
        <v>220</v>
      </c>
      <c r="D7" s="12">
        <v>149</v>
      </c>
      <c r="E7" s="12">
        <v>71</v>
      </c>
      <c r="F7" t="str">
        <f>+VLOOKUP(A7,'ANALISIS PROD'!$A$2:$A$43,1,FALSE)</f>
        <v>PT11001</v>
      </c>
      <c r="I7" s="9" t="s">
        <v>85</v>
      </c>
      <c r="J7" s="10" t="s">
        <v>97</v>
      </c>
      <c r="K7" s="11">
        <v>78</v>
      </c>
      <c r="L7" s="12">
        <v>38</v>
      </c>
      <c r="M7" s="12">
        <v>40</v>
      </c>
    </row>
    <row r="8" spans="1:13" ht="15.75" thickBot="1" x14ac:dyDescent="0.3">
      <c r="A8" s="9" t="s">
        <v>20</v>
      </c>
      <c r="B8" s="10" t="s">
        <v>21</v>
      </c>
      <c r="C8" s="11">
        <v>41</v>
      </c>
      <c r="D8" s="12">
        <v>31</v>
      </c>
      <c r="E8" s="12">
        <v>10</v>
      </c>
      <c r="F8" t="str">
        <f>+VLOOKUP(A8,'ANALISIS PROD'!$A$2:$A$43,1,FALSE)</f>
        <v>PT11002</v>
      </c>
      <c r="I8" s="13" t="s">
        <v>18</v>
      </c>
      <c r="J8" s="14" t="s">
        <v>19</v>
      </c>
      <c r="K8" s="15">
        <v>75</v>
      </c>
      <c r="L8" s="12">
        <v>13</v>
      </c>
      <c r="M8" s="12">
        <v>62</v>
      </c>
    </row>
    <row r="9" spans="1:13" ht="15.75" thickBot="1" x14ac:dyDescent="0.3">
      <c r="A9" s="13" t="s">
        <v>22</v>
      </c>
      <c r="B9" s="14" t="s">
        <v>23</v>
      </c>
      <c r="C9" s="15">
        <v>528</v>
      </c>
      <c r="D9" s="12">
        <v>483</v>
      </c>
      <c r="E9" s="12">
        <v>45</v>
      </c>
      <c r="F9" t="str">
        <f>+VLOOKUP(A9,'ANALISIS PROD'!$A$2:$A$43,1,FALSE)</f>
        <v>PT11003</v>
      </c>
      <c r="I9" s="9" t="s">
        <v>20</v>
      </c>
      <c r="J9" s="10" t="s">
        <v>21</v>
      </c>
      <c r="K9" s="11">
        <v>1</v>
      </c>
      <c r="L9" s="12">
        <v>1</v>
      </c>
      <c r="M9" s="12">
        <v>0</v>
      </c>
    </row>
    <row r="10" spans="1:13" ht="15.75" thickBot="1" x14ac:dyDescent="0.3">
      <c r="A10" s="9" t="s">
        <v>24</v>
      </c>
      <c r="B10" s="10" t="s">
        <v>25</v>
      </c>
      <c r="C10" s="11">
        <v>180</v>
      </c>
      <c r="D10" s="12">
        <v>180</v>
      </c>
      <c r="E10" s="12">
        <v>0</v>
      </c>
      <c r="F10" t="str">
        <f>+VLOOKUP(A10,'ANALISIS PROD'!$A$2:$A$43,1,FALSE)</f>
        <v>PT11004</v>
      </c>
      <c r="I10" s="13" t="s">
        <v>22</v>
      </c>
      <c r="J10" s="14" t="s">
        <v>23</v>
      </c>
      <c r="K10" s="15">
        <v>59</v>
      </c>
      <c r="L10" s="12">
        <v>41</v>
      </c>
      <c r="M10" s="12">
        <v>17</v>
      </c>
    </row>
    <row r="11" spans="1:13" ht="15.75" thickBot="1" x14ac:dyDescent="0.3">
      <c r="A11" s="13" t="s">
        <v>26</v>
      </c>
      <c r="B11" s="14" t="s">
        <v>27</v>
      </c>
      <c r="C11" s="15">
        <v>1812</v>
      </c>
      <c r="D11" s="12">
        <v>1633</v>
      </c>
      <c r="E11" s="12">
        <v>179</v>
      </c>
      <c r="F11" t="str">
        <f>+VLOOKUP(A11,'ANALISIS PROD'!$A$2:$A$43,1,FALSE)</f>
        <v>PT12001</v>
      </c>
      <c r="I11" s="9" t="s">
        <v>24</v>
      </c>
      <c r="J11" s="10" t="s">
        <v>25</v>
      </c>
      <c r="K11" s="11">
        <v>20</v>
      </c>
      <c r="L11" s="12">
        <v>20</v>
      </c>
      <c r="M11" s="12">
        <v>0</v>
      </c>
    </row>
    <row r="12" spans="1:13" ht="15.75" thickBot="1" x14ac:dyDescent="0.3">
      <c r="A12" s="9" t="s">
        <v>28</v>
      </c>
      <c r="B12" s="10" t="s">
        <v>29</v>
      </c>
      <c r="C12" s="11">
        <v>353</v>
      </c>
      <c r="D12" s="12">
        <v>286</v>
      </c>
      <c r="E12" s="12">
        <v>67</v>
      </c>
      <c r="F12" t="str">
        <f>+VLOOKUP(A12,'ANALISIS PROD'!$A$2:$A$43,1,FALSE)</f>
        <v>PT12002</v>
      </c>
      <c r="I12" s="13" t="s">
        <v>26</v>
      </c>
      <c r="J12" s="14" t="s">
        <v>27</v>
      </c>
      <c r="K12" s="15">
        <v>240</v>
      </c>
      <c r="L12" s="12">
        <v>75</v>
      </c>
      <c r="M12" s="12">
        <v>165</v>
      </c>
    </row>
    <row r="13" spans="1:13" ht="15.75" thickBot="1" x14ac:dyDescent="0.3">
      <c r="A13" s="13" t="s">
        <v>30</v>
      </c>
      <c r="B13" s="14" t="s">
        <v>31</v>
      </c>
      <c r="C13" s="15">
        <v>192</v>
      </c>
      <c r="D13" s="12">
        <v>145</v>
      </c>
      <c r="E13" s="12">
        <v>47</v>
      </c>
      <c r="F13" t="str">
        <f>+VLOOKUP(A13,'ANALISIS PROD'!$A$2:$A$43,1,FALSE)</f>
        <v>PT12003</v>
      </c>
      <c r="I13" s="9" t="s">
        <v>28</v>
      </c>
      <c r="J13" s="10" t="s">
        <v>29</v>
      </c>
      <c r="K13" s="11">
        <v>70</v>
      </c>
      <c r="L13" s="12">
        <v>19</v>
      </c>
      <c r="M13" s="12">
        <v>51</v>
      </c>
    </row>
    <row r="14" spans="1:13" ht="15.75" thickBot="1" x14ac:dyDescent="0.3">
      <c r="A14" s="9" t="s">
        <v>32</v>
      </c>
      <c r="B14" s="10" t="s">
        <v>33</v>
      </c>
      <c r="C14" s="11">
        <v>16</v>
      </c>
      <c r="D14" s="12">
        <v>16</v>
      </c>
      <c r="E14" s="12">
        <v>0</v>
      </c>
      <c r="F14" t="str">
        <f>+VLOOKUP(A14,'ANALISIS PROD'!$A$2:$A$43,1,FALSE)</f>
        <v>PT12004</v>
      </c>
      <c r="I14" s="13" t="s">
        <v>30</v>
      </c>
      <c r="J14" s="14" t="s">
        <v>31</v>
      </c>
      <c r="K14" s="15">
        <v>52</v>
      </c>
      <c r="L14" s="12">
        <v>15</v>
      </c>
      <c r="M14" s="12">
        <v>37</v>
      </c>
    </row>
    <row r="15" spans="1:13" ht="15.75" thickBot="1" x14ac:dyDescent="0.3">
      <c r="A15" s="13" t="s">
        <v>34</v>
      </c>
      <c r="B15" s="14" t="s">
        <v>35</v>
      </c>
      <c r="C15" s="15">
        <v>463</v>
      </c>
      <c r="D15" s="12">
        <v>380</v>
      </c>
      <c r="E15" s="12">
        <v>83</v>
      </c>
      <c r="F15" t="str">
        <f>+VLOOKUP(A15,'ANALISIS PROD'!$A$2:$A$43,1,FALSE)</f>
        <v>PT13001</v>
      </c>
      <c r="I15" s="9" t="s">
        <v>32</v>
      </c>
      <c r="J15" s="10" t="s">
        <v>33</v>
      </c>
      <c r="K15" s="11">
        <v>16</v>
      </c>
      <c r="L15" s="12">
        <v>16</v>
      </c>
      <c r="M15" s="12">
        <v>0</v>
      </c>
    </row>
    <row r="16" spans="1:13" ht="15.75" thickBot="1" x14ac:dyDescent="0.3">
      <c r="A16" s="9" t="s">
        <v>36</v>
      </c>
      <c r="B16" s="10" t="s">
        <v>37</v>
      </c>
      <c r="C16" s="11" t="s">
        <v>150</v>
      </c>
      <c r="D16" s="12">
        <v>4237</v>
      </c>
      <c r="E16" s="12">
        <v>497.5</v>
      </c>
      <c r="F16" t="str">
        <f>+VLOOKUP(A16,'ANALISIS PROD'!$A$2:$A$43,1,FALSE)</f>
        <v>PT20001</v>
      </c>
      <c r="I16" s="13" t="s">
        <v>34</v>
      </c>
      <c r="J16" s="14" t="s">
        <v>35</v>
      </c>
      <c r="K16" s="15">
        <v>88</v>
      </c>
      <c r="L16" s="12">
        <v>39</v>
      </c>
      <c r="M16" s="12">
        <v>49</v>
      </c>
    </row>
    <row r="17" spans="1:13" ht="15.75" thickBot="1" x14ac:dyDescent="0.3">
      <c r="A17" s="13" t="s">
        <v>38</v>
      </c>
      <c r="B17" s="14" t="s">
        <v>39</v>
      </c>
      <c r="C17" s="15">
        <v>12670</v>
      </c>
      <c r="D17" s="12">
        <v>11445</v>
      </c>
      <c r="E17" s="12">
        <v>1225</v>
      </c>
      <c r="F17" t="str">
        <f>+VLOOKUP(A17,'ANALISIS PROD'!$A$2:$A$43,1,FALSE)</f>
        <v>PT20002</v>
      </c>
      <c r="I17" s="9" t="s">
        <v>36</v>
      </c>
      <c r="J17" s="10" t="s">
        <v>37</v>
      </c>
      <c r="K17" s="11">
        <v>650</v>
      </c>
      <c r="L17" s="12" t="s">
        <v>131</v>
      </c>
      <c r="M17" s="12" t="s">
        <v>132</v>
      </c>
    </row>
    <row r="18" spans="1:13" ht="15.75" thickBot="1" x14ac:dyDescent="0.3">
      <c r="A18" s="9" t="s">
        <v>40</v>
      </c>
      <c r="B18" s="10" t="s">
        <v>41</v>
      </c>
      <c r="C18" s="11">
        <v>3021</v>
      </c>
      <c r="D18" s="12">
        <v>2832</v>
      </c>
      <c r="E18" s="12">
        <v>189</v>
      </c>
      <c r="F18" t="str">
        <f>+VLOOKUP(A18,'ANALISIS PROD'!$A$2:$A$43,1,FALSE)</f>
        <v>PT20003</v>
      </c>
      <c r="I18" s="13" t="s">
        <v>38</v>
      </c>
      <c r="J18" s="14" t="s">
        <v>39</v>
      </c>
      <c r="K18" s="15">
        <v>1657</v>
      </c>
      <c r="L18" s="12">
        <v>944</v>
      </c>
      <c r="M18" s="12">
        <v>713</v>
      </c>
    </row>
    <row r="19" spans="1:13" ht="15.75" thickBot="1" x14ac:dyDescent="0.3">
      <c r="A19" s="13" t="s">
        <v>42</v>
      </c>
      <c r="B19" s="14" t="s">
        <v>43</v>
      </c>
      <c r="C19" s="15">
        <v>3221</v>
      </c>
      <c r="D19" s="12">
        <v>3017</v>
      </c>
      <c r="E19" s="12">
        <v>206</v>
      </c>
      <c r="F19" t="str">
        <f>+VLOOKUP(A19,'ANALISIS PROD'!$A$2:$A$43,1,FALSE)</f>
        <v>PT20004</v>
      </c>
      <c r="I19" s="9" t="s">
        <v>40</v>
      </c>
      <c r="J19" s="10" t="s">
        <v>41</v>
      </c>
      <c r="K19" s="11">
        <v>312</v>
      </c>
      <c r="L19" s="12">
        <v>276</v>
      </c>
      <c r="M19" s="12">
        <v>36</v>
      </c>
    </row>
    <row r="20" spans="1:13" ht="15.75" thickBot="1" x14ac:dyDescent="0.3">
      <c r="A20" s="9" t="s">
        <v>44</v>
      </c>
      <c r="B20" s="10" t="s">
        <v>45</v>
      </c>
      <c r="C20" s="11">
        <v>85</v>
      </c>
      <c r="D20" s="12">
        <v>74</v>
      </c>
      <c r="E20" s="12">
        <v>11</v>
      </c>
      <c r="F20" t="str">
        <f>+VLOOKUP(A20,'ANALISIS PROD'!$A$2:$A$43,1,FALSE)</f>
        <v>PT20006</v>
      </c>
      <c r="I20" s="13" t="s">
        <v>42</v>
      </c>
      <c r="J20" s="14" t="s">
        <v>43</v>
      </c>
      <c r="K20" s="15">
        <v>192</v>
      </c>
      <c r="L20" s="12">
        <v>154</v>
      </c>
      <c r="M20" s="12">
        <v>38</v>
      </c>
    </row>
    <row r="21" spans="1:13" ht="15.75" thickBot="1" x14ac:dyDescent="0.3">
      <c r="A21" s="13" t="s">
        <v>86</v>
      </c>
      <c r="B21" s="14" t="s">
        <v>87</v>
      </c>
      <c r="C21" s="15">
        <v>491</v>
      </c>
      <c r="D21" s="12">
        <v>451</v>
      </c>
      <c r="E21" s="12">
        <v>40</v>
      </c>
      <c r="F21" t="e">
        <f>+VLOOKUP(A21,'ANALISIS PROD'!$A$2:$A$43,1,FALSE)</f>
        <v>#N/A</v>
      </c>
      <c r="I21" s="9" t="s">
        <v>44</v>
      </c>
      <c r="J21" s="10" t="s">
        <v>45</v>
      </c>
      <c r="K21" s="11">
        <v>35</v>
      </c>
      <c r="L21" s="12">
        <v>15</v>
      </c>
      <c r="M21" s="12">
        <v>20</v>
      </c>
    </row>
    <row r="22" spans="1:13" ht="15.75" thickBot="1" x14ac:dyDescent="0.3">
      <c r="A22" s="9" t="s">
        <v>46</v>
      </c>
      <c r="B22" s="10" t="s">
        <v>47</v>
      </c>
      <c r="C22" s="11" t="s">
        <v>151</v>
      </c>
      <c r="D22" s="12" t="s">
        <v>152</v>
      </c>
      <c r="E22" s="12">
        <v>389</v>
      </c>
      <c r="F22" t="str">
        <f>+VLOOKUP(A22,'ANALISIS PROD'!$A$2:$A$43,1,FALSE)</f>
        <v>PT21001</v>
      </c>
      <c r="I22" s="13" t="s">
        <v>86</v>
      </c>
      <c r="J22" s="14" t="s">
        <v>87</v>
      </c>
      <c r="K22" s="15">
        <v>59</v>
      </c>
      <c r="L22" s="12">
        <v>30</v>
      </c>
      <c r="M22" s="12">
        <v>29</v>
      </c>
    </row>
    <row r="23" spans="1:13" ht="15.75" thickBot="1" x14ac:dyDescent="0.3">
      <c r="A23" s="13" t="s">
        <v>48</v>
      </c>
      <c r="B23" s="14" t="s">
        <v>49</v>
      </c>
      <c r="C23" s="15">
        <v>9914</v>
      </c>
      <c r="D23" s="12" t="s">
        <v>153</v>
      </c>
      <c r="E23" s="12">
        <v>650.5</v>
      </c>
      <c r="F23" t="str">
        <f>+VLOOKUP(A23,'ANALISIS PROD'!$A$2:$A$43,1,FALSE)</f>
        <v>PT21002</v>
      </c>
      <c r="I23" s="9" t="s">
        <v>46</v>
      </c>
      <c r="J23" s="10" t="s">
        <v>47</v>
      </c>
      <c r="K23" s="11" t="s">
        <v>133</v>
      </c>
      <c r="L23" s="12">
        <v>513</v>
      </c>
      <c r="M23" s="12" t="s">
        <v>134</v>
      </c>
    </row>
    <row r="24" spans="1:13" ht="15.75" thickBot="1" x14ac:dyDescent="0.3">
      <c r="A24" s="9" t="s">
        <v>50</v>
      </c>
      <c r="B24" s="10" t="s">
        <v>51</v>
      </c>
      <c r="C24" s="11">
        <v>1915</v>
      </c>
      <c r="D24" s="12">
        <v>1823</v>
      </c>
      <c r="E24" s="12">
        <v>92</v>
      </c>
      <c r="F24" t="str">
        <f>+VLOOKUP(A24,'ANALISIS PROD'!$A$2:$A$43,1,FALSE)</f>
        <v>PT21003</v>
      </c>
      <c r="I24" s="13" t="s">
        <v>48</v>
      </c>
      <c r="J24" s="14" t="s">
        <v>49</v>
      </c>
      <c r="K24" s="15">
        <v>1282</v>
      </c>
      <c r="L24" s="12">
        <v>834</v>
      </c>
      <c r="M24" s="12">
        <v>448</v>
      </c>
    </row>
    <row r="25" spans="1:13" ht="15.75" thickBot="1" x14ac:dyDescent="0.3">
      <c r="A25" s="13" t="s">
        <v>52</v>
      </c>
      <c r="B25" s="14" t="s">
        <v>53</v>
      </c>
      <c r="C25" s="15">
        <v>893</v>
      </c>
      <c r="D25" s="12">
        <v>816</v>
      </c>
      <c r="E25" s="12">
        <v>77</v>
      </c>
      <c r="F25" t="str">
        <f>+VLOOKUP(A25,'ANALISIS PROD'!$A$2:$A$43,1,FALSE)</f>
        <v>PT21004</v>
      </c>
      <c r="I25" s="9" t="s">
        <v>50</v>
      </c>
      <c r="J25" s="10" t="s">
        <v>51</v>
      </c>
      <c r="K25" s="11">
        <v>249</v>
      </c>
      <c r="L25" s="12">
        <v>208</v>
      </c>
      <c r="M25" s="12">
        <v>41</v>
      </c>
    </row>
    <row r="26" spans="1:13" ht="15.75" thickBot="1" x14ac:dyDescent="0.3">
      <c r="A26" s="9" t="s">
        <v>56</v>
      </c>
      <c r="B26" s="10" t="s">
        <v>57</v>
      </c>
      <c r="C26" s="11">
        <v>3457</v>
      </c>
      <c r="D26" s="12" t="s">
        <v>154</v>
      </c>
      <c r="E26" s="12">
        <v>187.5</v>
      </c>
      <c r="F26" t="str">
        <f>+VLOOKUP(A26,'ANALISIS PROD'!$A$2:$A$43,1,FALSE)</f>
        <v>PT22001</v>
      </c>
      <c r="I26" s="13" t="s">
        <v>52</v>
      </c>
      <c r="J26" s="14" t="s">
        <v>53</v>
      </c>
      <c r="K26" s="15">
        <v>50</v>
      </c>
      <c r="L26" s="12">
        <v>32</v>
      </c>
      <c r="M26" s="12">
        <v>18</v>
      </c>
    </row>
    <row r="27" spans="1:13" ht="15.75" thickBot="1" x14ac:dyDescent="0.3">
      <c r="A27" s="13" t="s">
        <v>58</v>
      </c>
      <c r="B27" s="14" t="s">
        <v>59</v>
      </c>
      <c r="C27" s="15">
        <v>2970</v>
      </c>
      <c r="D27" s="12">
        <v>2720</v>
      </c>
      <c r="E27" s="12">
        <v>250</v>
      </c>
      <c r="F27" t="str">
        <f>+VLOOKUP(A27,'ANALISIS PROD'!$A$2:$A$43,1,FALSE)</f>
        <v>PT22002</v>
      </c>
      <c r="I27" s="9" t="s">
        <v>56</v>
      </c>
      <c r="J27" s="10" t="s">
        <v>57</v>
      </c>
      <c r="K27" s="11">
        <v>369</v>
      </c>
      <c r="L27" s="12" t="s">
        <v>135</v>
      </c>
      <c r="M27" s="12" t="s">
        <v>136</v>
      </c>
    </row>
    <row r="28" spans="1:13" ht="15.75" thickBot="1" x14ac:dyDescent="0.3">
      <c r="A28" s="9" t="s">
        <v>60</v>
      </c>
      <c r="B28" s="10" t="s">
        <v>61</v>
      </c>
      <c r="C28" s="11">
        <v>2129</v>
      </c>
      <c r="D28" s="12">
        <v>1992</v>
      </c>
      <c r="E28" s="12">
        <v>137</v>
      </c>
      <c r="F28" t="str">
        <f>+VLOOKUP(A28,'ANALISIS PROD'!$A$2:$A$43,1,FALSE)</f>
        <v>PT23001</v>
      </c>
      <c r="I28" s="13" t="s">
        <v>58</v>
      </c>
      <c r="J28" s="14" t="s">
        <v>59</v>
      </c>
      <c r="K28" s="15">
        <v>379</v>
      </c>
      <c r="L28" s="12">
        <v>220</v>
      </c>
      <c r="M28" s="12">
        <v>159</v>
      </c>
    </row>
    <row r="29" spans="1:13" ht="15.75" thickBot="1" x14ac:dyDescent="0.3">
      <c r="A29" s="13" t="s">
        <v>62</v>
      </c>
      <c r="B29" s="14" t="s">
        <v>63</v>
      </c>
      <c r="C29" s="15">
        <v>2447</v>
      </c>
      <c r="D29" s="12" t="s">
        <v>147</v>
      </c>
      <c r="E29" s="12">
        <v>162.5</v>
      </c>
      <c r="F29" t="str">
        <f>+VLOOKUP(A29,'ANALISIS PROD'!$A$2:$A$43,1,FALSE)</f>
        <v>PT23002</v>
      </c>
      <c r="I29" s="9" t="s">
        <v>60</v>
      </c>
      <c r="J29" s="10" t="s">
        <v>61</v>
      </c>
      <c r="K29" s="11">
        <v>327</v>
      </c>
      <c r="L29" s="12" t="s">
        <v>137</v>
      </c>
      <c r="M29" s="12" t="s">
        <v>138</v>
      </c>
    </row>
    <row r="30" spans="1:13" ht="15.75" thickBot="1" x14ac:dyDescent="0.3">
      <c r="A30" s="9" t="s">
        <v>64</v>
      </c>
      <c r="B30" s="10" t="s">
        <v>65</v>
      </c>
      <c r="C30" s="11">
        <v>718</v>
      </c>
      <c r="D30" s="12">
        <v>688</v>
      </c>
      <c r="E30" s="12">
        <v>30</v>
      </c>
      <c r="F30" t="str">
        <f>+VLOOKUP(A30,'ANALISIS PROD'!$A$2:$A$43,1,FALSE)</f>
        <v>PT30001</v>
      </c>
      <c r="I30" s="13" t="s">
        <v>62</v>
      </c>
      <c r="J30" s="14" t="s">
        <v>63</v>
      </c>
      <c r="K30" s="15">
        <v>293</v>
      </c>
      <c r="L30" s="12" t="s">
        <v>139</v>
      </c>
      <c r="M30" s="12" t="s">
        <v>140</v>
      </c>
    </row>
    <row r="31" spans="1:13" ht="15.75" thickBot="1" x14ac:dyDescent="0.3">
      <c r="A31" s="13" t="s">
        <v>66</v>
      </c>
      <c r="B31" s="14" t="s">
        <v>67</v>
      </c>
      <c r="C31" s="15">
        <v>733</v>
      </c>
      <c r="D31" s="12">
        <v>682</v>
      </c>
      <c r="E31" s="12">
        <v>51</v>
      </c>
      <c r="F31" t="str">
        <f>+VLOOKUP(A31,'ANALISIS PROD'!$A$2:$A$43,1,FALSE)</f>
        <v>PT70001</v>
      </c>
      <c r="I31" s="9" t="s">
        <v>64</v>
      </c>
      <c r="J31" s="10" t="s">
        <v>65</v>
      </c>
      <c r="K31" s="11">
        <v>90</v>
      </c>
      <c r="L31" s="12">
        <v>72</v>
      </c>
      <c r="M31" s="12">
        <v>18</v>
      </c>
    </row>
    <row r="32" spans="1:13" ht="15.75" thickBot="1" x14ac:dyDescent="0.3">
      <c r="A32" s="9" t="s">
        <v>68</v>
      </c>
      <c r="B32" s="10" t="s">
        <v>69</v>
      </c>
      <c r="C32" s="11">
        <v>310</v>
      </c>
      <c r="D32" s="12">
        <v>204</v>
      </c>
      <c r="E32" s="12">
        <v>106</v>
      </c>
      <c r="F32" t="str">
        <f>+VLOOKUP(A32,'ANALISIS PROD'!$A$2:$A$43,1,FALSE)</f>
        <v>PT70002</v>
      </c>
      <c r="I32" s="13" t="s">
        <v>66</v>
      </c>
      <c r="J32" s="14" t="s">
        <v>67</v>
      </c>
      <c r="K32" s="15">
        <v>123</v>
      </c>
      <c r="L32" s="12">
        <v>64</v>
      </c>
      <c r="M32" s="12">
        <v>59</v>
      </c>
    </row>
    <row r="33" spans="1:13" ht="15.75" thickBot="1" x14ac:dyDescent="0.3">
      <c r="A33" s="13" t="s">
        <v>70</v>
      </c>
      <c r="B33" s="14" t="s">
        <v>71</v>
      </c>
      <c r="C33" s="15">
        <v>323</v>
      </c>
      <c r="D33" s="12">
        <v>278</v>
      </c>
      <c r="E33" s="12">
        <v>45</v>
      </c>
      <c r="F33" t="str">
        <f>+VLOOKUP(A33,'ANALISIS PROD'!$A$2:$A$43,1,FALSE)</f>
        <v>PT71001</v>
      </c>
      <c r="I33" s="9" t="s">
        <v>68</v>
      </c>
      <c r="J33" s="10" t="s">
        <v>69</v>
      </c>
      <c r="K33" s="11">
        <v>45</v>
      </c>
      <c r="L33" s="12">
        <v>28</v>
      </c>
      <c r="M33" s="12">
        <v>17</v>
      </c>
    </row>
    <row r="34" spans="1:13" ht="15.75" thickBot="1" x14ac:dyDescent="0.3">
      <c r="A34" s="9" t="s">
        <v>72</v>
      </c>
      <c r="B34" s="10" t="s">
        <v>73</v>
      </c>
      <c r="C34" s="11">
        <v>289</v>
      </c>
      <c r="D34" s="12">
        <v>269</v>
      </c>
      <c r="E34" s="12">
        <v>20</v>
      </c>
      <c r="F34" t="str">
        <f>+VLOOKUP(A34,'ANALISIS PROD'!$A$2:$A$43,1,FALSE)</f>
        <v>PT71002</v>
      </c>
      <c r="I34" s="13" t="s">
        <v>70</v>
      </c>
      <c r="J34" s="14" t="s">
        <v>71</v>
      </c>
      <c r="K34" s="15">
        <v>123</v>
      </c>
      <c r="L34" s="12">
        <v>26</v>
      </c>
      <c r="M34" s="12">
        <v>97</v>
      </c>
    </row>
    <row r="35" spans="1:13" ht="15.75" thickBot="1" x14ac:dyDescent="0.3">
      <c r="A35" s="13" t="s">
        <v>74</v>
      </c>
      <c r="B35" s="14" t="s">
        <v>123</v>
      </c>
      <c r="C35" s="15">
        <v>2951</v>
      </c>
      <c r="D35" s="12">
        <v>2823</v>
      </c>
      <c r="E35" s="12">
        <v>127</v>
      </c>
      <c r="F35" t="str">
        <f>+VLOOKUP(A35,'ANALISIS PROD'!$A$2:$A$43,1,FALSE)</f>
        <v>PT72001</v>
      </c>
      <c r="I35" s="9" t="s">
        <v>72</v>
      </c>
      <c r="J35" s="10" t="s">
        <v>73</v>
      </c>
      <c r="K35" s="11">
        <v>60</v>
      </c>
      <c r="L35" s="12">
        <v>41</v>
      </c>
      <c r="M35" s="12">
        <v>19</v>
      </c>
    </row>
    <row r="36" spans="1:13" ht="15.75" thickBot="1" x14ac:dyDescent="0.3">
      <c r="A36" s="9" t="s">
        <v>54</v>
      </c>
      <c r="B36" s="10" t="s">
        <v>55</v>
      </c>
      <c r="C36" s="11">
        <v>3</v>
      </c>
      <c r="D36" s="12">
        <v>0</v>
      </c>
      <c r="E36" s="12">
        <v>3</v>
      </c>
      <c r="F36" t="str">
        <f>+VLOOKUP(A36,'ANALISIS PROD'!$A$2:$A$43,1,FALSE)</f>
        <v>PT21005</v>
      </c>
      <c r="I36" s="13" t="s">
        <v>74</v>
      </c>
      <c r="J36" s="14" t="s">
        <v>123</v>
      </c>
      <c r="K36" s="15">
        <v>306</v>
      </c>
      <c r="L36" s="12">
        <v>303</v>
      </c>
      <c r="M36" s="12">
        <v>3</v>
      </c>
    </row>
    <row r="37" spans="1:13" ht="15.75" thickBot="1" x14ac:dyDescent="0.3">
      <c r="A37" s="13" t="s">
        <v>76</v>
      </c>
      <c r="B37" s="14" t="s">
        <v>124</v>
      </c>
      <c r="C37" s="15">
        <v>789</v>
      </c>
      <c r="D37" s="12">
        <v>716</v>
      </c>
      <c r="E37" s="12">
        <v>73</v>
      </c>
      <c r="F37" t="str">
        <f>+VLOOKUP(A37,'ANALISIS PROD'!$A$2:$A$43,1,FALSE)</f>
        <v>PT22003</v>
      </c>
      <c r="I37" s="9" t="s">
        <v>54</v>
      </c>
      <c r="J37" s="10" t="s">
        <v>55</v>
      </c>
      <c r="K37" s="11">
        <v>3</v>
      </c>
      <c r="L37" s="12">
        <v>0</v>
      </c>
      <c r="M37" s="12">
        <v>3</v>
      </c>
    </row>
    <row r="38" spans="1:13" ht="15.75" thickBot="1" x14ac:dyDescent="0.3">
      <c r="A38" s="9" t="s">
        <v>78</v>
      </c>
      <c r="B38" s="10" t="s">
        <v>79</v>
      </c>
      <c r="C38" s="11">
        <v>593</v>
      </c>
      <c r="D38" s="12">
        <v>561</v>
      </c>
      <c r="E38" s="12">
        <v>30</v>
      </c>
      <c r="F38" t="str">
        <f>+VLOOKUP(A38,'ANALISIS PROD'!$A$2:$A$43,1,FALSE)</f>
        <v>PT22004</v>
      </c>
      <c r="I38" s="13" t="s">
        <v>76</v>
      </c>
      <c r="J38" s="14" t="s">
        <v>124</v>
      </c>
      <c r="K38" s="15">
        <v>108</v>
      </c>
      <c r="L38" s="12">
        <v>65</v>
      </c>
      <c r="M38" s="12">
        <v>43</v>
      </c>
    </row>
    <row r="39" spans="1:13" ht="15.75" thickBot="1" x14ac:dyDescent="0.3">
      <c r="A39" s="13" t="s">
        <v>98</v>
      </c>
      <c r="B39" s="14" t="s">
        <v>99</v>
      </c>
      <c r="C39" s="15">
        <v>1201</v>
      </c>
      <c r="D39" s="12">
        <v>1144</v>
      </c>
      <c r="E39" s="12">
        <v>57</v>
      </c>
      <c r="F39" t="str">
        <f>+VLOOKUP(A39,'ANALISIS PROD'!$A$2:$A$43,1,FALSE)</f>
        <v>PT21006</v>
      </c>
      <c r="I39" s="9" t="s">
        <v>78</v>
      </c>
      <c r="J39" s="10" t="s">
        <v>79</v>
      </c>
      <c r="K39" s="11">
        <v>54</v>
      </c>
      <c r="L39" s="12">
        <v>20</v>
      </c>
      <c r="M39" s="12">
        <v>34</v>
      </c>
    </row>
    <row r="40" spans="1:13" ht="15.75" thickBot="1" x14ac:dyDescent="0.3">
      <c r="A40" s="9" t="s">
        <v>125</v>
      </c>
      <c r="B40" s="10" t="s">
        <v>126</v>
      </c>
      <c r="C40" s="11">
        <v>1103</v>
      </c>
      <c r="D40" s="12">
        <v>1041</v>
      </c>
      <c r="E40" s="12">
        <v>62</v>
      </c>
      <c r="F40" t="str">
        <f>+VLOOKUP(A40,'ANALISIS PROD'!$A$2:$A$43,1,FALSE)</f>
        <v>PT20013</v>
      </c>
      <c r="I40" s="13" t="s">
        <v>98</v>
      </c>
      <c r="J40" s="14" t="s">
        <v>99</v>
      </c>
      <c r="K40" s="15">
        <v>189</v>
      </c>
      <c r="L40" s="12">
        <v>127</v>
      </c>
      <c r="M40" s="12">
        <v>62</v>
      </c>
    </row>
    <row r="41" spans="1:13" ht="15.75" thickBot="1" x14ac:dyDescent="0.3">
      <c r="F41" t="e">
        <f>+VLOOKUP(A41,'ANALISIS PROD'!$A$2:$A$43,1,FALSE)</f>
        <v>#N/A</v>
      </c>
      <c r="I41" s="9" t="s">
        <v>125</v>
      </c>
      <c r="J41" s="10" t="s">
        <v>126</v>
      </c>
      <c r="K41" s="11">
        <v>139</v>
      </c>
      <c r="L41" s="12">
        <v>115</v>
      </c>
      <c r="M41" s="12">
        <v>24</v>
      </c>
    </row>
    <row r="42" spans="1:13" x14ac:dyDescent="0.25">
      <c r="F42" t="e">
        <f>+VLOOKUP(A42,'ANALISIS PROD'!$A$2:$A$43,1,FALSE)</f>
        <v>#N/A</v>
      </c>
    </row>
    <row r="43" spans="1:13" x14ac:dyDescent="0.25">
      <c r="F43" t="e">
        <f>+VLOOKUP(A43,'ANALISIS PROD'!$A$2:$A$43,1,FALSE)</f>
        <v>#N/A</v>
      </c>
    </row>
  </sheetData>
  <autoFilter ref="F1:F43" xr:uid="{99523DED-975C-427E-94B3-D7A881454616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D1BC-CBD4-4D83-B6F1-60EDB36434E3}">
  <dimension ref="A1:E22"/>
  <sheetViews>
    <sheetView workbookViewId="0">
      <selection activeCell="D30" sqref="D30"/>
    </sheetView>
  </sheetViews>
  <sheetFormatPr baseColWidth="10" defaultRowHeight="15" x14ac:dyDescent="0.25"/>
  <cols>
    <col min="1" max="1" width="35.7109375" bestFit="1" customWidth="1"/>
  </cols>
  <sheetData>
    <row r="1" spans="1:5" x14ac:dyDescent="0.25">
      <c r="A1" s="4" t="s">
        <v>115</v>
      </c>
      <c r="B1">
        <v>19</v>
      </c>
      <c r="C1" s="4" t="s">
        <v>119</v>
      </c>
      <c r="D1">
        <v>18</v>
      </c>
    </row>
    <row r="2" spans="1:5" x14ac:dyDescent="0.25">
      <c r="B2">
        <v>19</v>
      </c>
      <c r="D2">
        <v>18</v>
      </c>
    </row>
    <row r="3" spans="1:5" x14ac:dyDescent="0.25">
      <c r="B3">
        <v>18</v>
      </c>
      <c r="D3">
        <v>20</v>
      </c>
    </row>
    <row r="4" spans="1:5" x14ac:dyDescent="0.25">
      <c r="B4">
        <v>12</v>
      </c>
      <c r="D4">
        <v>20</v>
      </c>
    </row>
    <row r="5" spans="1:5" x14ac:dyDescent="0.25">
      <c r="A5" t="s">
        <v>116</v>
      </c>
      <c r="B5" s="52">
        <f>+AVERAGE(B1:B4)</f>
        <v>17</v>
      </c>
      <c r="D5" s="52">
        <f>+AVERAGE(D1:D4)</f>
        <v>19</v>
      </c>
    </row>
    <row r="6" spans="1:5" x14ac:dyDescent="0.25">
      <c r="A6" t="s">
        <v>117</v>
      </c>
      <c r="B6" s="2">
        <f>+B5*60</f>
        <v>1020</v>
      </c>
      <c r="D6" s="2">
        <f>+D5*60</f>
        <v>1140</v>
      </c>
    </row>
    <row r="7" spans="1:5" x14ac:dyDescent="0.25">
      <c r="A7" t="s">
        <v>118</v>
      </c>
      <c r="B7" s="53">
        <f>+B6*8</f>
        <v>8160</v>
      </c>
      <c r="D7" s="53">
        <f>+D6*8</f>
        <v>9120</v>
      </c>
    </row>
    <row r="8" spans="1:5" x14ac:dyDescent="0.25">
      <c r="A8" t="s">
        <v>120</v>
      </c>
      <c r="B8" s="1">
        <f>+B7*4</f>
        <v>32640</v>
      </c>
      <c r="D8" s="1">
        <f>+D7*4</f>
        <v>36480</v>
      </c>
    </row>
    <row r="9" spans="1:5" x14ac:dyDescent="0.25">
      <c r="A9" t="s">
        <v>122</v>
      </c>
      <c r="B9" s="1">
        <f>+B8*5</f>
        <v>163200</v>
      </c>
      <c r="D9" s="1">
        <f>+D8*5</f>
        <v>182400</v>
      </c>
    </row>
    <row r="10" spans="1:5" x14ac:dyDescent="0.25">
      <c r="A10" t="s">
        <v>121</v>
      </c>
      <c r="B10" s="1">
        <f>1270*20</f>
        <v>25400</v>
      </c>
      <c r="D10" s="1">
        <f>960*40</f>
        <v>38400</v>
      </c>
    </row>
    <row r="11" spans="1:5" x14ac:dyDescent="0.25">
      <c r="B11" s="54">
        <f>+B10-B8</f>
        <v>-7240</v>
      </c>
      <c r="C11" s="55"/>
      <c r="D11" s="56">
        <f>+D10-D8</f>
        <v>1920</v>
      </c>
      <c r="E11" s="56">
        <f>SUM(B11:D11)</f>
        <v>-5320</v>
      </c>
    </row>
    <row r="12" spans="1:5" x14ac:dyDescent="0.25">
      <c r="B12" s="1"/>
    </row>
    <row r="14" spans="1:5" x14ac:dyDescent="0.25">
      <c r="B14" s="1"/>
      <c r="C14" s="1"/>
      <c r="D14" s="1"/>
    </row>
    <row r="15" spans="1:5" x14ac:dyDescent="0.25">
      <c r="B15" s="1"/>
      <c r="C15" s="1"/>
      <c r="D15" s="1"/>
    </row>
    <row r="16" spans="1:5" x14ac:dyDescent="0.25">
      <c r="B16" s="1"/>
      <c r="C16" s="1"/>
      <c r="D16" s="1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8024-3806-4A01-8FD7-D845BCB5A140}">
  <dimension ref="A1:K36"/>
  <sheetViews>
    <sheetView topLeftCell="A7" workbookViewId="0">
      <selection activeCell="F1" sqref="F1:F1048576"/>
    </sheetView>
  </sheetViews>
  <sheetFormatPr baseColWidth="10" defaultRowHeight="15" x14ac:dyDescent="0.25"/>
  <cols>
    <col min="1" max="1" width="9" style="68" bestFit="1" customWidth="1"/>
    <col min="2" max="2" width="37" style="68" bestFit="1" customWidth="1"/>
    <col min="3" max="6" width="8.140625" style="68" bestFit="1" customWidth="1"/>
    <col min="7" max="8" width="11.42578125" style="68"/>
    <col min="9" max="9" width="8.140625" style="68" bestFit="1" customWidth="1"/>
    <col min="10" max="10" width="32.140625" style="68" bestFit="1" customWidth="1"/>
    <col min="11" max="16384" width="11.42578125" style="68"/>
  </cols>
  <sheetData>
    <row r="1" spans="1:11" s="72" customFormat="1" ht="16.5" x14ac:dyDescent="0.25">
      <c r="A1" s="70" t="s">
        <v>0</v>
      </c>
      <c r="B1" s="70" t="s">
        <v>1</v>
      </c>
      <c r="C1" s="71" t="s">
        <v>2</v>
      </c>
      <c r="D1" s="71" t="s">
        <v>3</v>
      </c>
      <c r="E1" s="71" t="s">
        <v>4</v>
      </c>
      <c r="I1" s="25" t="s">
        <v>0</v>
      </c>
      <c r="J1" s="25" t="s">
        <v>1</v>
      </c>
    </row>
    <row r="2" spans="1:11" ht="16.5" x14ac:dyDescent="0.25">
      <c r="A2" s="67" t="s">
        <v>12</v>
      </c>
      <c r="B2" s="67" t="s">
        <v>13</v>
      </c>
      <c r="C2" s="69">
        <v>559.5</v>
      </c>
      <c r="D2" s="69">
        <v>511</v>
      </c>
      <c r="E2" s="69">
        <v>553.5</v>
      </c>
      <c r="F2" s="68" t="str">
        <f>+VLOOKUP(A2,$I$2:$I$35,1,FALSE)</f>
        <v>PT10002</v>
      </c>
      <c r="I2" t="s">
        <v>10</v>
      </c>
      <c r="J2" t="s">
        <v>11</v>
      </c>
      <c r="K2" s="68" t="str">
        <f>+VLOOKUP(I2,$A$2:$A$36,1,FALSE)</f>
        <v>PT10001</v>
      </c>
    </row>
    <row r="3" spans="1:11" ht="16.5" x14ac:dyDescent="0.25">
      <c r="A3" s="67" t="s">
        <v>38</v>
      </c>
      <c r="B3" s="67" t="s">
        <v>39</v>
      </c>
      <c r="C3" s="69">
        <v>2758.5</v>
      </c>
      <c r="D3" s="69">
        <v>2813.5</v>
      </c>
      <c r="E3" s="69">
        <v>3044.5</v>
      </c>
      <c r="F3" s="68" t="str">
        <f t="shared" ref="F3:F36" si="0">+VLOOKUP(A3,$I$2:$I$35,1,FALSE)</f>
        <v>PT20002</v>
      </c>
      <c r="I3" t="s">
        <v>12</v>
      </c>
      <c r="J3" t="s">
        <v>13</v>
      </c>
      <c r="K3" s="68" t="str">
        <f t="shared" ref="K3:K35" si="1">+VLOOKUP(I3,$A$2:$A$36,1,FALSE)</f>
        <v>PT10002</v>
      </c>
    </row>
    <row r="4" spans="1:11" ht="16.5" x14ac:dyDescent="0.25">
      <c r="A4" s="67" t="s">
        <v>40</v>
      </c>
      <c r="B4" s="67" t="s">
        <v>41</v>
      </c>
      <c r="C4" s="69">
        <v>733</v>
      </c>
      <c r="D4" s="69">
        <v>586</v>
      </c>
      <c r="E4" s="69">
        <v>724</v>
      </c>
      <c r="F4" s="68" t="str">
        <f t="shared" si="0"/>
        <v>PT20003</v>
      </c>
      <c r="I4" t="s">
        <v>18</v>
      </c>
      <c r="J4" t="s">
        <v>19</v>
      </c>
      <c r="K4" s="68" t="str">
        <f t="shared" si="1"/>
        <v>PT11001</v>
      </c>
    </row>
    <row r="5" spans="1:11" ht="16.5" x14ac:dyDescent="0.25">
      <c r="A5" s="67" t="s">
        <v>62</v>
      </c>
      <c r="B5" s="67" t="s">
        <v>63</v>
      </c>
      <c r="C5" s="69">
        <v>536.5</v>
      </c>
      <c r="D5" s="69">
        <v>476</v>
      </c>
      <c r="E5" s="69">
        <v>593</v>
      </c>
      <c r="F5" s="68" t="str">
        <f t="shared" si="0"/>
        <v>PT23002</v>
      </c>
      <c r="I5" t="s">
        <v>20</v>
      </c>
      <c r="J5" t="s">
        <v>21</v>
      </c>
      <c r="K5" s="68" t="str">
        <f t="shared" si="1"/>
        <v>PT11002</v>
      </c>
    </row>
    <row r="6" spans="1:11" ht="16.5" x14ac:dyDescent="0.25">
      <c r="A6" s="67" t="s">
        <v>58</v>
      </c>
      <c r="B6" s="67" t="s">
        <v>59</v>
      </c>
      <c r="C6" s="69">
        <v>640.5</v>
      </c>
      <c r="D6" s="69">
        <v>594</v>
      </c>
      <c r="E6" s="69">
        <v>707</v>
      </c>
      <c r="F6" s="68" t="str">
        <f t="shared" si="0"/>
        <v>PT22002</v>
      </c>
      <c r="I6" t="s">
        <v>26</v>
      </c>
      <c r="J6" t="s">
        <v>27</v>
      </c>
      <c r="K6" s="68" t="str">
        <f t="shared" si="1"/>
        <v>PT12001</v>
      </c>
    </row>
    <row r="7" spans="1:11" ht="16.5" x14ac:dyDescent="0.25">
      <c r="A7" s="67" t="s">
        <v>48</v>
      </c>
      <c r="B7" s="67" t="s">
        <v>49</v>
      </c>
      <c r="C7" s="69">
        <v>2114.5</v>
      </c>
      <c r="D7" s="69">
        <v>2003.5</v>
      </c>
      <c r="E7" s="69">
        <v>2435.5</v>
      </c>
      <c r="F7" s="68" t="str">
        <f t="shared" si="0"/>
        <v>PT21002</v>
      </c>
      <c r="I7" t="s">
        <v>28</v>
      </c>
      <c r="J7" t="s">
        <v>29</v>
      </c>
      <c r="K7" s="68" t="str">
        <f t="shared" si="1"/>
        <v>PT12002</v>
      </c>
    </row>
    <row r="8" spans="1:11" ht="16.5" x14ac:dyDescent="0.25">
      <c r="A8" s="67" t="s">
        <v>28</v>
      </c>
      <c r="B8" s="67" t="s">
        <v>29</v>
      </c>
      <c r="C8" s="69">
        <v>77</v>
      </c>
      <c r="D8" s="69">
        <v>66</v>
      </c>
      <c r="E8" s="69">
        <v>66</v>
      </c>
      <c r="F8" s="68" t="str">
        <f t="shared" si="0"/>
        <v>PT12002</v>
      </c>
      <c r="I8" t="s">
        <v>34</v>
      </c>
      <c r="J8" t="s">
        <v>35</v>
      </c>
      <c r="K8" s="68" t="str">
        <f t="shared" si="1"/>
        <v>PT13001</v>
      </c>
    </row>
    <row r="9" spans="1:11" ht="16.5" x14ac:dyDescent="0.25">
      <c r="A9" s="67" t="s">
        <v>74</v>
      </c>
      <c r="B9" s="67" t="s">
        <v>75</v>
      </c>
      <c r="C9" s="69">
        <v>508.5</v>
      </c>
      <c r="D9" s="69">
        <v>661</v>
      </c>
      <c r="E9" s="69">
        <v>728.5</v>
      </c>
      <c r="F9" s="68" t="e">
        <f t="shared" si="0"/>
        <v>#N/A</v>
      </c>
      <c r="I9" t="s">
        <v>90</v>
      </c>
      <c r="J9" t="s">
        <v>91</v>
      </c>
      <c r="K9" s="68" t="e">
        <f t="shared" si="1"/>
        <v>#N/A</v>
      </c>
    </row>
    <row r="10" spans="1:11" ht="16.5" x14ac:dyDescent="0.25">
      <c r="A10" s="67" t="s">
        <v>66</v>
      </c>
      <c r="B10" s="67" t="s">
        <v>143</v>
      </c>
      <c r="C10" s="69">
        <v>124</v>
      </c>
      <c r="D10" s="69">
        <v>118</v>
      </c>
      <c r="E10" s="69">
        <v>144</v>
      </c>
      <c r="F10" s="68" t="e">
        <f t="shared" si="0"/>
        <v>#N/A</v>
      </c>
      <c r="I10" t="s">
        <v>36</v>
      </c>
      <c r="J10" t="s">
        <v>37</v>
      </c>
      <c r="K10" s="68" t="str">
        <f t="shared" si="1"/>
        <v>PT20001</v>
      </c>
    </row>
    <row r="11" spans="1:11" ht="16.5" x14ac:dyDescent="0.25">
      <c r="A11" s="67" t="s">
        <v>14</v>
      </c>
      <c r="B11" s="67" t="s">
        <v>15</v>
      </c>
      <c r="C11" s="69">
        <v>572</v>
      </c>
      <c r="D11" s="69">
        <v>426</v>
      </c>
      <c r="E11" s="69">
        <v>533</v>
      </c>
      <c r="F11" s="68" t="str">
        <f t="shared" si="0"/>
        <v>PT10003</v>
      </c>
      <c r="I11" t="s">
        <v>38</v>
      </c>
      <c r="J11" t="s">
        <v>39</v>
      </c>
      <c r="K11" s="68" t="str">
        <f t="shared" si="1"/>
        <v>PT20002</v>
      </c>
    </row>
    <row r="12" spans="1:11" ht="16.5" x14ac:dyDescent="0.25">
      <c r="A12" s="67" t="s">
        <v>70</v>
      </c>
      <c r="B12" s="67" t="s">
        <v>144</v>
      </c>
      <c r="C12" s="69">
        <v>52</v>
      </c>
      <c r="D12" s="69">
        <v>70</v>
      </c>
      <c r="E12" s="69">
        <v>70</v>
      </c>
      <c r="F12" s="68" t="e">
        <f t="shared" si="0"/>
        <v>#N/A</v>
      </c>
      <c r="I12" t="s">
        <v>125</v>
      </c>
      <c r="J12" t="s">
        <v>126</v>
      </c>
      <c r="K12" s="68" t="str">
        <f t="shared" si="1"/>
        <v>PT20013</v>
      </c>
    </row>
    <row r="13" spans="1:11" ht="16.5" x14ac:dyDescent="0.25">
      <c r="A13" s="67" t="s">
        <v>50</v>
      </c>
      <c r="B13" s="67" t="s">
        <v>51</v>
      </c>
      <c r="C13" s="69">
        <v>438</v>
      </c>
      <c r="D13" s="69">
        <v>322</v>
      </c>
      <c r="E13" s="69">
        <v>505</v>
      </c>
      <c r="F13" s="68" t="str">
        <f t="shared" si="0"/>
        <v>PT21003</v>
      </c>
      <c r="I13" t="s">
        <v>46</v>
      </c>
      <c r="J13" t="s">
        <v>47</v>
      </c>
      <c r="K13" s="68" t="str">
        <f t="shared" si="1"/>
        <v>PT21001</v>
      </c>
    </row>
    <row r="14" spans="1:11" ht="16.5" x14ac:dyDescent="0.25">
      <c r="A14" s="67" t="s">
        <v>10</v>
      </c>
      <c r="B14" s="67" t="s">
        <v>11</v>
      </c>
      <c r="C14" s="69">
        <v>554.5</v>
      </c>
      <c r="D14" s="69">
        <v>611.5</v>
      </c>
      <c r="E14" s="69">
        <v>714</v>
      </c>
      <c r="F14" s="68" t="str">
        <f t="shared" si="0"/>
        <v>PT10001</v>
      </c>
      <c r="I14" t="s">
        <v>48</v>
      </c>
      <c r="J14" t="s">
        <v>49</v>
      </c>
      <c r="K14" s="68" t="str">
        <f t="shared" si="1"/>
        <v>PT21002</v>
      </c>
    </row>
    <row r="15" spans="1:11" ht="16.5" x14ac:dyDescent="0.25">
      <c r="A15" s="67" t="s">
        <v>76</v>
      </c>
      <c r="B15" s="67" t="s">
        <v>77</v>
      </c>
      <c r="C15" s="69">
        <v>141</v>
      </c>
      <c r="D15" s="69">
        <v>120</v>
      </c>
      <c r="E15" s="69">
        <v>200</v>
      </c>
      <c r="F15" s="68" t="str">
        <f t="shared" si="0"/>
        <v>PT22003</v>
      </c>
      <c r="I15" t="s">
        <v>98</v>
      </c>
      <c r="J15" t="s">
        <v>99</v>
      </c>
      <c r="K15" s="68" t="str">
        <f t="shared" si="1"/>
        <v>PT21006</v>
      </c>
    </row>
    <row r="16" spans="1:11" ht="16.5" x14ac:dyDescent="0.25">
      <c r="A16" s="67" t="s">
        <v>26</v>
      </c>
      <c r="B16" s="67" t="s">
        <v>27</v>
      </c>
      <c r="C16" s="69">
        <v>412</v>
      </c>
      <c r="D16" s="69">
        <v>352</v>
      </c>
      <c r="E16" s="69">
        <v>445</v>
      </c>
      <c r="F16" s="68" t="str">
        <f t="shared" si="0"/>
        <v>PT12001</v>
      </c>
      <c r="I16" t="s">
        <v>44</v>
      </c>
      <c r="J16" t="s">
        <v>45</v>
      </c>
      <c r="K16" s="68" t="str">
        <f t="shared" si="1"/>
        <v>PT20006</v>
      </c>
    </row>
    <row r="17" spans="1:11" ht="16.5" x14ac:dyDescent="0.25">
      <c r="A17" s="67" t="s">
        <v>46</v>
      </c>
      <c r="B17" s="67" t="s">
        <v>47</v>
      </c>
      <c r="C17" s="69">
        <v>1625</v>
      </c>
      <c r="D17" s="69">
        <v>1567.5</v>
      </c>
      <c r="E17" s="69">
        <v>1667</v>
      </c>
      <c r="F17" s="68" t="str">
        <f t="shared" si="0"/>
        <v>PT21001</v>
      </c>
      <c r="I17" t="s">
        <v>54</v>
      </c>
      <c r="J17" t="s">
        <v>55</v>
      </c>
      <c r="K17" s="68" t="e">
        <f t="shared" si="1"/>
        <v>#N/A</v>
      </c>
    </row>
    <row r="18" spans="1:11" ht="16.5" x14ac:dyDescent="0.25">
      <c r="A18" s="67" t="s">
        <v>36</v>
      </c>
      <c r="B18" s="67" t="s">
        <v>37</v>
      </c>
      <c r="C18" s="69">
        <v>1007</v>
      </c>
      <c r="D18" s="69">
        <v>997</v>
      </c>
      <c r="E18" s="69">
        <v>1137</v>
      </c>
      <c r="F18" s="68" t="str">
        <f t="shared" si="0"/>
        <v>PT20001</v>
      </c>
      <c r="I18" t="s">
        <v>56</v>
      </c>
      <c r="J18" t="s">
        <v>57</v>
      </c>
      <c r="K18" s="68" t="str">
        <f t="shared" si="1"/>
        <v>PT22001</v>
      </c>
    </row>
    <row r="19" spans="1:11" ht="16.5" x14ac:dyDescent="0.25">
      <c r="A19" s="67" t="s">
        <v>60</v>
      </c>
      <c r="B19" s="67" t="s">
        <v>61</v>
      </c>
      <c r="C19" s="69">
        <v>469.5</v>
      </c>
      <c r="D19" s="69">
        <v>423.5</v>
      </c>
      <c r="E19" s="69">
        <v>565</v>
      </c>
      <c r="F19" s="68" t="str">
        <f t="shared" si="0"/>
        <v>PT23001</v>
      </c>
      <c r="I19" t="s">
        <v>58</v>
      </c>
      <c r="J19" t="s">
        <v>59</v>
      </c>
      <c r="K19" s="68" t="str">
        <f t="shared" si="1"/>
        <v>PT22002</v>
      </c>
    </row>
    <row r="20" spans="1:11" ht="16.5" x14ac:dyDescent="0.25">
      <c r="A20" s="67" t="s">
        <v>34</v>
      </c>
      <c r="B20" s="67" t="s">
        <v>35</v>
      </c>
      <c r="C20" s="69">
        <v>99</v>
      </c>
      <c r="D20" s="69">
        <v>99</v>
      </c>
      <c r="E20" s="69">
        <v>82</v>
      </c>
      <c r="F20" s="68" t="str">
        <f t="shared" si="0"/>
        <v>PT13001</v>
      </c>
      <c r="I20" t="s">
        <v>60</v>
      </c>
      <c r="J20" t="s">
        <v>61</v>
      </c>
      <c r="K20" s="68" t="str">
        <f t="shared" si="1"/>
        <v>PT23001</v>
      </c>
    </row>
    <row r="21" spans="1:11" ht="16.5" x14ac:dyDescent="0.25">
      <c r="A21" s="67" t="s">
        <v>56</v>
      </c>
      <c r="B21" s="67" t="s">
        <v>57</v>
      </c>
      <c r="C21" s="69">
        <v>840</v>
      </c>
      <c r="D21" s="69">
        <v>740</v>
      </c>
      <c r="E21" s="69">
        <v>793</v>
      </c>
      <c r="F21" s="68" t="str">
        <f t="shared" si="0"/>
        <v>PT22001</v>
      </c>
      <c r="I21" t="s">
        <v>62</v>
      </c>
      <c r="J21" t="s">
        <v>63</v>
      </c>
      <c r="K21" s="68" t="str">
        <f t="shared" si="1"/>
        <v>PT23002</v>
      </c>
    </row>
    <row r="22" spans="1:11" ht="16.5" x14ac:dyDescent="0.25">
      <c r="A22" s="67" t="s">
        <v>30</v>
      </c>
      <c r="B22" s="67" t="s">
        <v>31</v>
      </c>
      <c r="C22" s="69">
        <v>40</v>
      </c>
      <c r="D22" s="69">
        <v>30</v>
      </c>
      <c r="E22" s="69">
        <v>24</v>
      </c>
      <c r="F22" s="68" t="str">
        <f t="shared" si="0"/>
        <v>PT12003</v>
      </c>
      <c r="I22" s="16"/>
      <c r="J22" s="17"/>
    </row>
    <row r="23" spans="1:11" ht="16.5" x14ac:dyDescent="0.25">
      <c r="A23" s="67" t="s">
        <v>18</v>
      </c>
      <c r="B23" s="67" t="s">
        <v>19</v>
      </c>
      <c r="C23" s="69">
        <v>35</v>
      </c>
      <c r="D23" s="69">
        <v>34</v>
      </c>
      <c r="E23" s="69">
        <v>33</v>
      </c>
      <c r="F23" s="68" t="str">
        <f t="shared" si="0"/>
        <v>PT11001</v>
      </c>
      <c r="I23" t="s">
        <v>14</v>
      </c>
      <c r="J23" t="s">
        <v>15</v>
      </c>
      <c r="K23" s="68" t="str">
        <f t="shared" si="1"/>
        <v>PT10003</v>
      </c>
    </row>
    <row r="24" spans="1:11" ht="16.5" x14ac:dyDescent="0.25">
      <c r="A24" s="67" t="s">
        <v>22</v>
      </c>
      <c r="B24" s="67" t="s">
        <v>23</v>
      </c>
      <c r="C24" s="69">
        <v>137</v>
      </c>
      <c r="D24" s="69">
        <v>82</v>
      </c>
      <c r="E24" s="69">
        <v>147</v>
      </c>
      <c r="F24" s="68" t="str">
        <f t="shared" si="0"/>
        <v>PT11003</v>
      </c>
      <c r="I24" t="s">
        <v>16</v>
      </c>
      <c r="J24" t="s">
        <v>17</v>
      </c>
      <c r="K24" s="68" t="str">
        <f t="shared" si="1"/>
        <v>PT10004</v>
      </c>
    </row>
    <row r="25" spans="1:11" ht="16.5" x14ac:dyDescent="0.25">
      <c r="A25" s="67" t="s">
        <v>44</v>
      </c>
      <c r="B25" s="67" t="s">
        <v>45</v>
      </c>
      <c r="C25" s="69">
        <v>14</v>
      </c>
      <c r="D25" s="69">
        <v>5</v>
      </c>
      <c r="E25" s="69">
        <v>6</v>
      </c>
      <c r="F25" s="68" t="str">
        <f t="shared" si="0"/>
        <v>PT20006</v>
      </c>
      <c r="I25" t="s">
        <v>22</v>
      </c>
      <c r="J25" t="s">
        <v>23</v>
      </c>
      <c r="K25" s="68" t="str">
        <f t="shared" si="1"/>
        <v>PT11003</v>
      </c>
    </row>
    <row r="26" spans="1:11" ht="16.5" x14ac:dyDescent="0.25">
      <c r="A26" s="67" t="s">
        <v>52</v>
      </c>
      <c r="B26" s="67" t="s">
        <v>53</v>
      </c>
      <c r="C26" s="69">
        <v>203</v>
      </c>
      <c r="D26" s="69">
        <v>174</v>
      </c>
      <c r="E26" s="69">
        <v>224</v>
      </c>
      <c r="F26" s="68" t="str">
        <f t="shared" si="0"/>
        <v>PT21004</v>
      </c>
      <c r="I26" t="s">
        <v>24</v>
      </c>
      <c r="J26" t="s">
        <v>25</v>
      </c>
      <c r="K26" s="68" t="str">
        <f t="shared" si="1"/>
        <v>PT11004</v>
      </c>
    </row>
    <row r="27" spans="1:11" ht="16.5" x14ac:dyDescent="0.25">
      <c r="A27" s="67" t="s">
        <v>42</v>
      </c>
      <c r="B27" s="67" t="s">
        <v>43</v>
      </c>
      <c r="C27" s="69">
        <v>552</v>
      </c>
      <c r="D27" s="69">
        <v>738</v>
      </c>
      <c r="E27" s="69">
        <v>1042</v>
      </c>
      <c r="F27" s="68" t="str">
        <f t="shared" si="0"/>
        <v>PT20004</v>
      </c>
      <c r="I27" t="s">
        <v>30</v>
      </c>
      <c r="J27" t="s">
        <v>31</v>
      </c>
      <c r="K27" s="68" t="str">
        <f t="shared" si="1"/>
        <v>PT12003</v>
      </c>
    </row>
    <row r="28" spans="1:11" ht="16.5" x14ac:dyDescent="0.25">
      <c r="A28" s="67" t="s">
        <v>78</v>
      </c>
      <c r="B28" s="67" t="s">
        <v>79</v>
      </c>
      <c r="C28" s="69">
        <v>131</v>
      </c>
      <c r="D28" s="69">
        <v>117</v>
      </c>
      <c r="E28" s="69">
        <v>133</v>
      </c>
      <c r="F28" s="68" t="str">
        <f t="shared" si="0"/>
        <v>PT22004</v>
      </c>
      <c r="I28" t="s">
        <v>32</v>
      </c>
      <c r="J28" t="s">
        <v>33</v>
      </c>
      <c r="K28" s="68" t="e">
        <f t="shared" si="1"/>
        <v>#N/A</v>
      </c>
    </row>
    <row r="29" spans="1:11" ht="16.5" x14ac:dyDescent="0.25">
      <c r="A29" s="67" t="s">
        <v>16</v>
      </c>
      <c r="B29" s="67" t="s">
        <v>17</v>
      </c>
      <c r="C29" s="69">
        <v>818</v>
      </c>
      <c r="D29" s="69">
        <v>1001</v>
      </c>
      <c r="E29" s="69">
        <v>1234</v>
      </c>
      <c r="F29" s="68" t="str">
        <f t="shared" si="0"/>
        <v>PT10004</v>
      </c>
      <c r="I29" t="s">
        <v>40</v>
      </c>
      <c r="J29" t="s">
        <v>41</v>
      </c>
      <c r="K29" s="68" t="str">
        <f t="shared" si="1"/>
        <v>PT20003</v>
      </c>
    </row>
    <row r="30" spans="1:11" ht="16.5" x14ac:dyDescent="0.25">
      <c r="A30" s="67" t="s">
        <v>68</v>
      </c>
      <c r="B30" s="67" t="s">
        <v>145</v>
      </c>
      <c r="C30" s="69">
        <v>44</v>
      </c>
      <c r="D30" s="69">
        <v>40</v>
      </c>
      <c r="E30" s="69">
        <v>40</v>
      </c>
      <c r="F30" s="68" t="e">
        <f t="shared" si="0"/>
        <v>#N/A</v>
      </c>
      <c r="I30" t="s">
        <v>42</v>
      </c>
      <c r="J30" t="s">
        <v>43</v>
      </c>
      <c r="K30" s="68" t="str">
        <f t="shared" si="1"/>
        <v>PT20004</v>
      </c>
    </row>
    <row r="31" spans="1:11" ht="16.5" x14ac:dyDescent="0.25">
      <c r="A31" s="67" t="s">
        <v>72</v>
      </c>
      <c r="B31" s="67" t="s">
        <v>146</v>
      </c>
      <c r="C31" s="69">
        <v>38</v>
      </c>
      <c r="D31" s="69">
        <v>55</v>
      </c>
      <c r="E31" s="69">
        <v>48</v>
      </c>
      <c r="F31" s="68" t="e">
        <f t="shared" si="0"/>
        <v>#N/A</v>
      </c>
      <c r="I31" t="s">
        <v>50</v>
      </c>
      <c r="J31" t="s">
        <v>51</v>
      </c>
      <c r="K31" s="68" t="str">
        <f t="shared" si="1"/>
        <v>PT21003</v>
      </c>
    </row>
    <row r="32" spans="1:11" ht="16.5" x14ac:dyDescent="0.25">
      <c r="A32" s="67" t="s">
        <v>20</v>
      </c>
      <c r="B32" s="67" t="s">
        <v>21</v>
      </c>
      <c r="C32" s="69">
        <v>9</v>
      </c>
      <c r="D32" s="69">
        <v>12</v>
      </c>
      <c r="E32" s="69">
        <v>4</v>
      </c>
      <c r="F32" s="68" t="str">
        <f t="shared" si="0"/>
        <v>PT11002</v>
      </c>
      <c r="I32" t="s">
        <v>52</v>
      </c>
      <c r="J32" t="s">
        <v>53</v>
      </c>
      <c r="K32" s="68" t="str">
        <f t="shared" si="1"/>
        <v>PT21004</v>
      </c>
    </row>
    <row r="33" spans="1:11" ht="16.5" x14ac:dyDescent="0.25">
      <c r="A33" s="67" t="s">
        <v>125</v>
      </c>
      <c r="B33" s="67" t="s">
        <v>126</v>
      </c>
      <c r="C33" s="69">
        <v>227</v>
      </c>
      <c r="D33" s="69">
        <v>185</v>
      </c>
      <c r="E33" s="69">
        <v>234</v>
      </c>
      <c r="F33" s="68" t="str">
        <f t="shared" si="0"/>
        <v>PT20013</v>
      </c>
      <c r="I33" t="s">
        <v>64</v>
      </c>
      <c r="J33" t="s">
        <v>65</v>
      </c>
      <c r="K33" s="68" t="str">
        <f t="shared" si="1"/>
        <v>PT30001</v>
      </c>
    </row>
    <row r="34" spans="1:11" ht="16.5" x14ac:dyDescent="0.25">
      <c r="A34" s="67" t="s">
        <v>98</v>
      </c>
      <c r="B34" s="67" t="s">
        <v>99</v>
      </c>
      <c r="C34" s="69">
        <v>233</v>
      </c>
      <c r="D34" s="69">
        <v>242</v>
      </c>
      <c r="E34" s="69">
        <v>241</v>
      </c>
      <c r="F34" s="68" t="str">
        <f t="shared" si="0"/>
        <v>PT21006</v>
      </c>
      <c r="I34" t="s">
        <v>76</v>
      </c>
      <c r="J34" t="s">
        <v>77</v>
      </c>
      <c r="K34" s="68" t="str">
        <f t="shared" si="1"/>
        <v>PT22003</v>
      </c>
    </row>
    <row r="35" spans="1:11" ht="16.5" x14ac:dyDescent="0.25">
      <c r="A35" s="67" t="s">
        <v>64</v>
      </c>
      <c r="B35" s="67" t="s">
        <v>65</v>
      </c>
      <c r="C35" s="69">
        <v>209</v>
      </c>
      <c r="D35" s="69">
        <v>136</v>
      </c>
      <c r="E35" s="69">
        <v>185</v>
      </c>
      <c r="F35" s="68" t="str">
        <f t="shared" si="0"/>
        <v>PT30001</v>
      </c>
      <c r="I35" t="s">
        <v>78</v>
      </c>
      <c r="J35" t="s">
        <v>79</v>
      </c>
      <c r="K35" s="68" t="str">
        <f t="shared" si="1"/>
        <v>PT22004</v>
      </c>
    </row>
    <row r="36" spans="1:11" ht="16.5" x14ac:dyDescent="0.25">
      <c r="A36" s="67" t="s">
        <v>24</v>
      </c>
      <c r="B36" s="67" t="s">
        <v>25</v>
      </c>
      <c r="C36" s="69">
        <v>60</v>
      </c>
      <c r="D36" s="69">
        <v>35</v>
      </c>
      <c r="E36" s="69">
        <v>45</v>
      </c>
      <c r="F36" s="68" t="str">
        <f t="shared" si="0"/>
        <v>PT11004</v>
      </c>
    </row>
  </sheetData>
  <autoFilter ref="A1:K37" xr:uid="{8ECF8024-3806-4A01-8FD7-D845BCB5A140}"/>
  <conditionalFormatting sqref="I2:J35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horno</vt:lpstr>
      <vt:lpstr>ANALISIS PROD</vt:lpstr>
      <vt:lpstr>ENVIAR</vt:lpstr>
      <vt:lpstr>INVENTARIO ACTUAL</vt:lpstr>
      <vt:lpstr>TIRAS X H</vt:lpstr>
      <vt:lpstr>Hoja1</vt:lpstr>
      <vt:lpstr>'ANALISIS PROD'!Área_de_impresión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Vinueza</dc:creator>
  <cp:lastModifiedBy>Jorge Vinueza</cp:lastModifiedBy>
  <cp:lastPrinted>2023-12-06T15:23:23Z</cp:lastPrinted>
  <dcterms:created xsi:type="dcterms:W3CDTF">2023-08-30T16:57:10Z</dcterms:created>
  <dcterms:modified xsi:type="dcterms:W3CDTF">2024-05-06T18:46:01Z</dcterms:modified>
</cp:coreProperties>
</file>