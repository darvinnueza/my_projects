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tiz\Dropbox\Producción\"/>
    </mc:Choice>
  </mc:AlternateContent>
  <xr:revisionPtr revIDLastSave="0" documentId="13_ncr:1_{DC22EB97-253A-488C-82D9-2F45D2139690}" xr6:coauthVersionLast="47" xr6:coauthVersionMax="47" xr10:uidLastSave="{00000000-0000-0000-0000-000000000000}"/>
  <bookViews>
    <workbookView xWindow="8775" yWindow="1290" windowWidth="26325" windowHeight="13650" xr2:uid="{C59059B4-BDFC-4155-82B9-990FEB467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3" i="1"/>
  <c r="D4" i="1"/>
  <c r="D10" i="1"/>
  <c r="D11" i="1"/>
  <c r="D12" i="1"/>
  <c r="D13" i="1"/>
  <c r="D2" i="1"/>
  <c r="D14" i="1" l="1"/>
</calcChain>
</file>

<file path=xl/sharedStrings.xml><?xml version="1.0" encoding="utf-8"?>
<sst xmlns="http://schemas.openxmlformats.org/spreadsheetml/2006/main" count="16" uniqueCount="16">
  <si>
    <t>Mes</t>
  </si>
  <si>
    <t>Prom. Pacas/h.</t>
  </si>
  <si>
    <t>% horas perdidas</t>
  </si>
  <si>
    <t>Coste para Hisp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</si>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</sst>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4" formatCode="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329D2-3B1C-4820-BEE6-150B52CA76AA}" name="Tabla1" displayName="Tabla1" ref="A1:D14" totalsRowCount="1" headerRowDxfId="7">
  <autoFilter ref="A1:D13" xr:uid="{DB7329D2-3B1C-4820-BEE6-150B52CA76AA}"/>
  <tableColumns count="4">
    <tableColumn id="1" xr3:uid="{24E5CA01-8C4C-4EF6-A58E-A2334AA591A9}" name="Mes" dataDxfId="6"/>
    <tableColumn id="2" xr3:uid="{F2010705-3119-46B4-856E-8E2610CA487B}" name="Prom. Pacas/h." dataDxfId="5" totalsRowDxfId="2"/>
    <tableColumn id="3" xr3:uid="{7D4DDC33-0380-4ADC-99B6-5185B70B0139}" name="% horas perdidas" dataDxfId="4" totalsRowDxfId="1"/>
    <tableColumn id="4" xr3:uid="{4FE65D52-ECE7-4672-9240-92BBE252B731}" name="Coste para Hisp" totalsRowFunction="sum" dataDxfId="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CE6-4FA4-43DA-9F17-9E1F9758A249}">
  <dimension ref="A1:D14"/>
  <sheetViews>
    <sheetView tabSelected="1" workbookViewId="0">
      <selection activeCell="D4" sqref="D4"/>
    </sheetView>
  </sheetViews>
  <sheetFormatPr baseColWidth="10" defaultRowHeight="15" x14ac:dyDescent="0.25"/>
  <cols>
    <col min="1" max="1" width="7" customWidth="1"/>
    <col min="2" max="2" width="16.28515625" customWidth="1"/>
    <col min="3" max="3" width="18.140625" customWidth="1"/>
    <col min="4" max="4" width="16.71093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6</v>
      </c>
      <c r="B2" s="4">
        <v>7.2</v>
      </c>
      <c r="C2" s="4">
        <v>10.35</v>
      </c>
      <c r="D2" s="1">
        <f>(Tabla1[[#This Row],[% horas perdidas]]/100)*50155.82</f>
        <v>5191.1273700000002</v>
      </c>
    </row>
    <row r="3" spans="1:4" x14ac:dyDescent="0.25">
      <c r="A3" t="s">
        <v>7</v>
      </c>
      <c r="B3" s="4">
        <v>7.28</v>
      </c>
      <c r="C3" s="4">
        <v>6.99</v>
      </c>
      <c r="D3" s="1">
        <f>(Tabla1[[#This Row],[% horas perdidas]]/100)*54144.33</f>
        <v>3784.6886670000004</v>
      </c>
    </row>
    <row r="4" spans="1:4" x14ac:dyDescent="0.25">
      <c r="A4" t="s">
        <v>8</v>
      </c>
      <c r="B4" s="4">
        <v>8.89</v>
      </c>
      <c r="C4" s="4">
        <v>10.28</v>
      </c>
      <c r="D4" s="1">
        <f>(Tabla1[[#This Row],[% horas perdidas]]/100)*50155.82</f>
        <v>5156.0182959999993</v>
      </c>
    </row>
    <row r="5" spans="1:4" x14ac:dyDescent="0.25">
      <c r="A5" t="s">
        <v>9</v>
      </c>
      <c r="B5" s="4">
        <v>9.0500000000000007</v>
      </c>
      <c r="C5" s="4">
        <v>7.24</v>
      </c>
      <c r="D5" s="1">
        <v>3966.78</v>
      </c>
    </row>
    <row r="6" spans="1:4" x14ac:dyDescent="0.25">
      <c r="A6" t="s">
        <v>10</v>
      </c>
      <c r="B6" s="4">
        <v>8.9</v>
      </c>
      <c r="C6" s="4">
        <v>17.010000000000002</v>
      </c>
      <c r="D6" s="1">
        <f>(Tabla1[[#This Row],[% horas perdidas]]/100)*45291.18</f>
        <v>7704.0297180000016</v>
      </c>
    </row>
    <row r="7" spans="1:4" x14ac:dyDescent="0.25">
      <c r="A7" t="s">
        <v>11</v>
      </c>
      <c r="B7" s="4">
        <v>10</v>
      </c>
      <c r="C7" s="4">
        <v>13.77</v>
      </c>
      <c r="D7" s="1">
        <f>(Tabla1[[#This Row],[% horas perdidas]]/100)*48877.74</f>
        <v>6730.4647979999991</v>
      </c>
    </row>
    <row r="8" spans="1:4" x14ac:dyDescent="0.25">
      <c r="A8" t="s">
        <v>12</v>
      </c>
      <c r="B8" s="4">
        <v>11.85</v>
      </c>
      <c r="C8" s="4">
        <v>10.54</v>
      </c>
      <c r="D8" s="1">
        <f>(Tabla1[[#This Row],[% horas perdidas]]/100)*54289.76</f>
        <v>5722.1407039999995</v>
      </c>
    </row>
    <row r="9" spans="1:4" x14ac:dyDescent="0.25">
      <c r="A9" t="s">
        <v>13</v>
      </c>
      <c r="B9" s="4">
        <v>11.19</v>
      </c>
      <c r="C9" s="4">
        <v>12.92</v>
      </c>
      <c r="D9" s="1">
        <f>(Tabla1[[#This Row],[% horas perdidas]]/100)*44825.45</f>
        <v>5791.4481400000004</v>
      </c>
    </row>
    <row r="10" spans="1:4" x14ac:dyDescent="0.25">
      <c r="A10" t="s">
        <v>14</v>
      </c>
      <c r="B10" s="4"/>
      <c r="C10" s="4"/>
      <c r="D10" s="1">
        <f>(Tabla1[[#This Row],[% horas perdidas]]/100)*50155.82</f>
        <v>0</v>
      </c>
    </row>
    <row r="11" spans="1:4" x14ac:dyDescent="0.25">
      <c r="A11" t="s">
        <v>15</v>
      </c>
      <c r="B11" s="4"/>
      <c r="C11" s="4"/>
      <c r="D11" s="1">
        <f>(Tabla1[[#This Row],[% horas perdidas]]/100)*50155.82</f>
        <v>0</v>
      </c>
    </row>
    <row r="12" spans="1:4" x14ac:dyDescent="0.25">
      <c r="A12" t="s">
        <v>4</v>
      </c>
      <c r="B12" s="4"/>
      <c r="C12" s="4"/>
      <c r="D12" s="1">
        <f>(Tabla1[[#This Row],[% horas perdidas]]/100)*50155.82</f>
        <v>0</v>
      </c>
    </row>
    <row r="13" spans="1:4" x14ac:dyDescent="0.25">
      <c r="A13" t="s">
        <v>5</v>
      </c>
      <c r="B13" s="4"/>
      <c r="C13" s="4"/>
      <c r="D13" s="1">
        <f>(Tabla1[[#This Row],[% horas perdidas]]/100)*50155.82</f>
        <v>0</v>
      </c>
    </row>
    <row r="14" spans="1:4" x14ac:dyDescent="0.25">
      <c r="B14" s="4"/>
      <c r="C14" s="4"/>
      <c r="D14" s="1">
        <f>SUBTOTAL(109,Tabla1[Coste para Hisp])</f>
        <v>44046.697692999995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Ortiz</dc:creator>
  <cp:lastModifiedBy>Jorge Ortiz</cp:lastModifiedBy>
  <cp:lastPrinted>2023-09-01T18:27:16Z</cp:lastPrinted>
  <dcterms:created xsi:type="dcterms:W3CDTF">2023-01-27T17:40:27Z</dcterms:created>
  <dcterms:modified xsi:type="dcterms:W3CDTF">2023-09-01T18:28:26Z</dcterms:modified>
</cp:coreProperties>
</file>