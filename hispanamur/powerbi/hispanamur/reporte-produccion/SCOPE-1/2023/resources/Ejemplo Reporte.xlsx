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arvin/Documents/GitHub/portfolio/my_projects/hispanamur/powerbi/hispanamur/reporte-produccion/SCOPE-1/resources/"/>
    </mc:Choice>
  </mc:AlternateContent>
  <xr:revisionPtr revIDLastSave="0" documentId="13_ncr:1_{1777DB64-7287-5047-9D72-8A9805871AA2}" xr6:coauthVersionLast="47" xr6:coauthVersionMax="47" xr10:uidLastSave="{00000000-0000-0000-0000-000000000000}"/>
  <bookViews>
    <workbookView xWindow="34560" yWindow="500" windowWidth="38400" windowHeight="23500" activeTab="1" xr2:uid="{217FB530-4FD5-4EB7-B588-1A7DA41933F7}"/>
  </bookViews>
  <sheets>
    <sheet name="horno" sheetId="4" r:id="rId1"/>
    <sheet name="ANALISIS PROD" sheetId="1" r:id="rId2"/>
    <sheet name="INVENTARIO ACTUAL" sheetId="3" r:id="rId3"/>
  </sheets>
  <definedNames>
    <definedName name="_xlnm._FilterDatabase" localSheetId="1" hidden="1">'ANALISIS PROD'!$A$2:$AE$36</definedName>
    <definedName name="_xlnm.Print_Area" localSheetId="1">'ANALISIS PROD'!$B$2:$AD$37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U3" i="1"/>
  <c r="T3" i="1"/>
  <c r="R3" i="1"/>
  <c r="T5" i="1"/>
  <c r="S8" i="1"/>
  <c r="E2" i="3"/>
  <c r="S12" i="1" l="1"/>
  <c r="S7" i="1"/>
  <c r="C36" i="1"/>
  <c r="D36" i="1"/>
  <c r="E36" i="1"/>
  <c r="F36" i="1"/>
  <c r="G36" i="1"/>
  <c r="H36" i="1"/>
  <c r="I36" i="1"/>
  <c r="J36" i="1"/>
  <c r="K36" i="1"/>
  <c r="L36" i="1"/>
  <c r="C44" i="1"/>
  <c r="Q3" i="1"/>
  <c r="Q2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2" i="3"/>
  <c r="S3" i="1"/>
  <c r="T22" i="1"/>
  <c r="U22" i="1" s="1"/>
  <c r="S42" i="1"/>
  <c r="S41" i="1"/>
  <c r="S40" i="1"/>
  <c r="S39" i="1"/>
  <c r="S38" i="1"/>
  <c r="S4" i="1"/>
  <c r="S5" i="1"/>
  <c r="S6" i="1"/>
  <c r="S9" i="1"/>
  <c r="S11" i="1"/>
  <c r="S13" i="1"/>
  <c r="S14" i="1"/>
  <c r="S15" i="1"/>
  <c r="S16" i="1"/>
  <c r="S17" i="1"/>
  <c r="S18" i="1"/>
  <c r="S19" i="1"/>
  <c r="S20" i="1"/>
  <c r="S21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AA22" i="1"/>
  <c r="AC22" i="1" s="1"/>
  <c r="Q15" i="1"/>
  <c r="Q14" i="1"/>
  <c r="Q35" i="1"/>
  <c r="Q34" i="1"/>
  <c r="S36" i="1" l="1"/>
  <c r="S44" i="1"/>
  <c r="C46" i="1"/>
  <c r="V22" i="1"/>
  <c r="AE22" i="1" s="1"/>
  <c r="S46" i="1" l="1"/>
  <c r="Q10" i="1"/>
  <c r="O22" i="1"/>
  <c r="O10" i="1"/>
  <c r="B7" i="4" l="1"/>
  <c r="B6" i="4"/>
  <c r="B3" i="4"/>
  <c r="B2" i="4"/>
  <c r="B15" i="4" s="1"/>
  <c r="O42" i="1"/>
  <c r="O40" i="1"/>
  <c r="O38" i="1"/>
  <c r="O34" i="1"/>
  <c r="O32" i="1"/>
  <c r="O30" i="1"/>
  <c r="O28" i="1"/>
  <c r="O26" i="1"/>
  <c r="O24" i="1"/>
  <c r="O21" i="1"/>
  <c r="O19" i="1"/>
  <c r="O17" i="1"/>
  <c r="O15" i="1"/>
  <c r="O13" i="1"/>
  <c r="O11" i="1"/>
  <c r="O8" i="1"/>
  <c r="O6" i="1"/>
  <c r="O4" i="1"/>
  <c r="O3" i="1" l="1"/>
  <c r="O5" i="1"/>
  <c r="O7" i="1"/>
  <c r="O9" i="1"/>
  <c r="O12" i="1"/>
  <c r="O14" i="1"/>
  <c r="O16" i="1"/>
  <c r="O18" i="1"/>
  <c r="O20" i="1"/>
  <c r="O23" i="1"/>
  <c r="O25" i="1"/>
  <c r="O27" i="1"/>
  <c r="O29" i="1"/>
  <c r="O31" i="1"/>
  <c r="O33" i="1"/>
  <c r="O35" i="1"/>
  <c r="O39" i="1"/>
  <c r="O41" i="1"/>
  <c r="L44" i="1"/>
  <c r="Q5" i="1"/>
  <c r="Q7" i="1"/>
  <c r="Q9" i="1"/>
  <c r="Q12" i="1"/>
  <c r="Q16" i="1"/>
  <c r="Q18" i="1"/>
  <c r="Q20" i="1"/>
  <c r="Q23" i="1"/>
  <c r="Q25" i="1"/>
  <c r="Q27" i="1"/>
  <c r="Q29" i="1"/>
  <c r="Q31" i="1"/>
  <c r="Q33" i="1"/>
  <c r="Q39" i="1"/>
  <c r="Q41" i="1"/>
  <c r="Q4" i="1"/>
  <c r="Q6" i="1"/>
  <c r="Q8" i="1"/>
  <c r="Q11" i="1"/>
  <c r="Q13" i="1"/>
  <c r="Q17" i="1"/>
  <c r="Q19" i="1"/>
  <c r="Q24" i="1"/>
  <c r="Q26" i="1"/>
  <c r="Q28" i="1"/>
  <c r="Q30" i="1"/>
  <c r="Q32" i="1"/>
  <c r="Q38" i="1"/>
  <c r="Q40" i="1"/>
  <c r="Q42" i="1"/>
  <c r="B13" i="4"/>
  <c r="Q36" i="1" l="1"/>
  <c r="O36" i="1"/>
  <c r="L46" i="1"/>
  <c r="O44" i="1"/>
  <c r="O46" i="1" l="1"/>
  <c r="C47" i="1" s="1"/>
  <c r="Q46" i="1"/>
  <c r="L47" i="1" l="1"/>
  <c r="M47" i="1"/>
  <c r="N47" i="1"/>
  <c r="D44" i="1" l="1"/>
  <c r="E44" i="1"/>
  <c r="F44" i="1"/>
  <c r="G44" i="1"/>
  <c r="H44" i="1"/>
  <c r="I44" i="1"/>
  <c r="J44" i="1"/>
  <c r="K44" i="1"/>
  <c r="K46" i="1" l="1"/>
  <c r="K47" i="1" s="1"/>
  <c r="J46" i="1" l="1"/>
  <c r="J47" i="1" s="1"/>
  <c r="I46" i="1"/>
  <c r="I47" i="1" s="1"/>
  <c r="H46" i="1"/>
  <c r="H47" i="1" s="1"/>
  <c r="G46" i="1"/>
  <c r="G47" i="1" s="1"/>
  <c r="F46" i="1"/>
  <c r="F47" i="1" s="1"/>
  <c r="E46" i="1"/>
  <c r="E47" i="1" s="1"/>
  <c r="D46" i="1"/>
  <c r="D47" i="1" s="1"/>
  <c r="R47" i="1" l="1"/>
  <c r="R21" i="1" s="1"/>
  <c r="R5" i="1"/>
  <c r="Z3" i="1"/>
  <c r="R27" i="1" l="1"/>
  <c r="R12" i="1"/>
  <c r="AA3" i="1"/>
  <c r="R39" i="1"/>
  <c r="T39" i="1" s="1"/>
  <c r="R17" i="1"/>
  <c r="T17" i="1" s="1"/>
  <c r="R42" i="1"/>
  <c r="T42" i="1" s="1"/>
  <c r="R38" i="1"/>
  <c r="R32" i="1"/>
  <c r="T32" i="1" s="1"/>
  <c r="R28" i="1"/>
  <c r="T28" i="1" s="1"/>
  <c r="R24" i="1"/>
  <c r="T24" i="1" s="1"/>
  <c r="R20" i="1"/>
  <c r="R16" i="1"/>
  <c r="T16" i="1" s="1"/>
  <c r="T12" i="1"/>
  <c r="R7" i="1"/>
  <c r="T7" i="1" s="1"/>
  <c r="U7" i="1" s="1"/>
  <c r="R41" i="1"/>
  <c r="T41" i="1" s="1"/>
  <c r="R35" i="1"/>
  <c r="T35" i="1" s="1"/>
  <c r="R31" i="1"/>
  <c r="T31" i="1" s="1"/>
  <c r="R23" i="1"/>
  <c r="T23" i="1" s="1"/>
  <c r="R19" i="1"/>
  <c r="R15" i="1"/>
  <c r="T15" i="1" s="1"/>
  <c r="R11" i="1"/>
  <c r="R6" i="1"/>
  <c r="T6" i="1" s="1"/>
  <c r="R40" i="1"/>
  <c r="T40" i="1" s="1"/>
  <c r="R34" i="1"/>
  <c r="T34" i="1" s="1"/>
  <c r="R30" i="1"/>
  <c r="R26" i="1"/>
  <c r="T26" i="1" s="1"/>
  <c r="R18" i="1"/>
  <c r="T18" i="1" s="1"/>
  <c r="R14" i="1"/>
  <c r="T14" i="1" s="1"/>
  <c r="R9" i="1"/>
  <c r="T9" i="1" s="1"/>
  <c r="R33" i="1"/>
  <c r="R29" i="1"/>
  <c r="T29" i="1" s="1"/>
  <c r="R25" i="1"/>
  <c r="T25" i="1" s="1"/>
  <c r="T21" i="1"/>
  <c r="R13" i="1"/>
  <c r="T13" i="1" s="1"/>
  <c r="R8" i="1"/>
  <c r="R4" i="1"/>
  <c r="R10" i="1"/>
  <c r="T10" i="1" s="1"/>
  <c r="T4" i="1" l="1"/>
  <c r="U4" i="1" s="1"/>
  <c r="V4" i="1" s="1"/>
  <c r="AE4" i="1" s="1"/>
  <c r="R36" i="1"/>
  <c r="AC3" i="1"/>
  <c r="R44" i="1"/>
  <c r="U29" i="1"/>
  <c r="V29" i="1" s="1"/>
  <c r="AE29" i="1" s="1"/>
  <c r="U34" i="1"/>
  <c r="V34" i="1" s="1"/>
  <c r="AE34" i="1" s="1"/>
  <c r="U31" i="1"/>
  <c r="V31" i="1" s="1"/>
  <c r="AE31" i="1" s="1"/>
  <c r="U24" i="1"/>
  <c r="V24" i="1" s="1"/>
  <c r="AE24" i="1" s="1"/>
  <c r="U13" i="1"/>
  <c r="V13" i="1" s="1"/>
  <c r="AE13" i="1" s="1"/>
  <c r="U18" i="1"/>
  <c r="V18" i="1" s="1"/>
  <c r="AE18" i="1" s="1"/>
  <c r="U40" i="1"/>
  <c r="V40" i="1" s="1"/>
  <c r="AE40" i="1" s="1"/>
  <c r="U35" i="1"/>
  <c r="V35" i="1" s="1"/>
  <c r="AE35" i="1" s="1"/>
  <c r="U12" i="1"/>
  <c r="V12" i="1" s="1"/>
  <c r="AE12" i="1" s="1"/>
  <c r="U28" i="1"/>
  <c r="V28" i="1" s="1"/>
  <c r="AE28" i="1" s="1"/>
  <c r="U17" i="1"/>
  <c r="V17" i="1" s="1"/>
  <c r="AE17" i="1" s="1"/>
  <c r="U14" i="1"/>
  <c r="V14" i="1" s="1"/>
  <c r="AE14" i="1" s="1"/>
  <c r="U15" i="1"/>
  <c r="V15" i="1" s="1"/>
  <c r="AE15" i="1" s="1"/>
  <c r="V7" i="1"/>
  <c r="AE7" i="1" s="1"/>
  <c r="U42" i="1"/>
  <c r="V42" i="1" s="1"/>
  <c r="AE42" i="1" s="1"/>
  <c r="U10" i="1"/>
  <c r="V10" i="1" s="1"/>
  <c r="AE10" i="1" s="1"/>
  <c r="U21" i="1"/>
  <c r="V21" i="1" s="1"/>
  <c r="AE21" i="1" s="1"/>
  <c r="U5" i="1"/>
  <c r="V5" i="1" s="1"/>
  <c r="AE5" i="1" s="1"/>
  <c r="U26" i="1"/>
  <c r="V26" i="1" s="1"/>
  <c r="AE26" i="1" s="1"/>
  <c r="U6" i="1"/>
  <c r="V6" i="1" s="1"/>
  <c r="AE6" i="1" s="1"/>
  <c r="U23" i="1"/>
  <c r="V23" i="1" s="1"/>
  <c r="AE23" i="1" s="1"/>
  <c r="U41" i="1"/>
  <c r="V41" i="1" s="1"/>
  <c r="AE41" i="1" s="1"/>
  <c r="U16" i="1"/>
  <c r="V16" i="1" s="1"/>
  <c r="AE16" i="1" s="1"/>
  <c r="U32" i="1"/>
  <c r="V32" i="1" s="1"/>
  <c r="AE32" i="1" s="1"/>
  <c r="U39" i="1"/>
  <c r="V39" i="1" s="1"/>
  <c r="AE39" i="1" s="1"/>
  <c r="U25" i="1"/>
  <c r="V25" i="1" s="1"/>
  <c r="AE25" i="1" s="1"/>
  <c r="U9" i="1"/>
  <c r="V9" i="1" s="1"/>
  <c r="AE9" i="1" s="1"/>
  <c r="Z8" i="1"/>
  <c r="AA8" i="1" s="1"/>
  <c r="AC8" i="1" s="1"/>
  <c r="T8" i="1"/>
  <c r="Z11" i="1"/>
  <c r="AA11" i="1" s="1"/>
  <c r="AC11" i="1" s="1"/>
  <c r="T11" i="1"/>
  <c r="Z20" i="1"/>
  <c r="AA20" i="1" s="1"/>
  <c r="AC20" i="1" s="1"/>
  <c r="T20" i="1"/>
  <c r="Z33" i="1"/>
  <c r="AA33" i="1" s="1"/>
  <c r="AC33" i="1" s="1"/>
  <c r="T33" i="1"/>
  <c r="Z19" i="1"/>
  <c r="AA19" i="1" s="1"/>
  <c r="AC19" i="1" s="1"/>
  <c r="T19" i="1"/>
  <c r="Z30" i="1"/>
  <c r="AA30" i="1" s="1"/>
  <c r="AC30" i="1" s="1"/>
  <c r="T30" i="1"/>
  <c r="Z27" i="1"/>
  <c r="AA27" i="1" s="1"/>
  <c r="AC27" i="1" s="1"/>
  <c r="T27" i="1"/>
  <c r="Z38" i="1"/>
  <c r="AA38" i="1" s="1"/>
  <c r="T38" i="1"/>
  <c r="X8" i="1"/>
  <c r="X33" i="1"/>
  <c r="X11" i="1"/>
  <c r="X30" i="1"/>
  <c r="X25" i="1"/>
  <c r="Z25" i="1"/>
  <c r="AA25" i="1" s="1"/>
  <c r="AC25" i="1" s="1"/>
  <c r="X38" i="1"/>
  <c r="X29" i="1"/>
  <c r="Z29" i="1"/>
  <c r="AA29" i="1" s="1"/>
  <c r="AC29" i="1" s="1"/>
  <c r="X34" i="1"/>
  <c r="Z34" i="1"/>
  <c r="AA34" i="1" s="1"/>
  <c r="AC34" i="1" s="1"/>
  <c r="X31" i="1"/>
  <c r="Z31" i="1"/>
  <c r="AA31" i="1" s="1"/>
  <c r="AC31" i="1" s="1"/>
  <c r="X24" i="1"/>
  <c r="Z24" i="1"/>
  <c r="AA24" i="1" s="1"/>
  <c r="AC24" i="1" s="1"/>
  <c r="X42" i="1"/>
  <c r="Z42" i="1"/>
  <c r="AA42" i="1" s="1"/>
  <c r="AC42" i="1" s="1"/>
  <c r="X4" i="1"/>
  <c r="Z4" i="1"/>
  <c r="X9" i="1"/>
  <c r="Z9" i="1"/>
  <c r="AA9" i="1" s="1"/>
  <c r="AC9" i="1" s="1"/>
  <c r="X14" i="1"/>
  <c r="Z14" i="1"/>
  <c r="AA14" i="1" s="1"/>
  <c r="AC14" i="1" s="1"/>
  <c r="X15" i="1"/>
  <c r="Z15" i="1"/>
  <c r="AA15" i="1" s="1"/>
  <c r="AC15" i="1" s="1"/>
  <c r="X7" i="1"/>
  <c r="Z7" i="1"/>
  <c r="AA7" i="1" s="1"/>
  <c r="AC7" i="1" s="1"/>
  <c r="X3" i="1"/>
  <c r="X18" i="1"/>
  <c r="Z18" i="1"/>
  <c r="AA18" i="1" s="1"/>
  <c r="AC18" i="1" s="1"/>
  <c r="X35" i="1"/>
  <c r="Z35" i="1"/>
  <c r="AA35" i="1" s="1"/>
  <c r="AC35" i="1" s="1"/>
  <c r="X12" i="1"/>
  <c r="Z12" i="1"/>
  <c r="AA12" i="1" s="1"/>
  <c r="AC12" i="1" s="1"/>
  <c r="X28" i="1"/>
  <c r="Z28" i="1"/>
  <c r="AA28" i="1" s="1"/>
  <c r="AC28" i="1" s="1"/>
  <c r="X17" i="1"/>
  <c r="Z17" i="1"/>
  <c r="AA17" i="1" s="1"/>
  <c r="AC17" i="1" s="1"/>
  <c r="X13" i="1"/>
  <c r="Z13" i="1"/>
  <c r="AA13" i="1" s="1"/>
  <c r="AC13" i="1" s="1"/>
  <c r="X40" i="1"/>
  <c r="Z40" i="1"/>
  <c r="AA40" i="1" s="1"/>
  <c r="AC40" i="1" s="1"/>
  <c r="X27" i="1"/>
  <c r="X20" i="1"/>
  <c r="X10" i="1"/>
  <c r="Z10" i="1"/>
  <c r="AA10" i="1" s="1"/>
  <c r="AC10" i="1" s="1"/>
  <c r="X21" i="1"/>
  <c r="Z21" i="1"/>
  <c r="AA21" i="1" s="1"/>
  <c r="AC21" i="1" s="1"/>
  <c r="X5" i="1"/>
  <c r="Z5" i="1"/>
  <c r="AA5" i="1" s="1"/>
  <c r="AC5" i="1" s="1"/>
  <c r="X26" i="1"/>
  <c r="Z26" i="1"/>
  <c r="AA26" i="1" s="1"/>
  <c r="AC26" i="1" s="1"/>
  <c r="X6" i="1"/>
  <c r="Z6" i="1"/>
  <c r="AA6" i="1" s="1"/>
  <c r="AC6" i="1" s="1"/>
  <c r="X23" i="1"/>
  <c r="Z23" i="1"/>
  <c r="AA23" i="1" s="1"/>
  <c r="AC23" i="1" s="1"/>
  <c r="X41" i="1"/>
  <c r="Z41" i="1"/>
  <c r="AA41" i="1" s="1"/>
  <c r="AC41" i="1" s="1"/>
  <c r="X16" i="1"/>
  <c r="Z16" i="1"/>
  <c r="AA16" i="1" s="1"/>
  <c r="AC16" i="1" s="1"/>
  <c r="X32" i="1"/>
  <c r="Z32" i="1"/>
  <c r="AA32" i="1" s="1"/>
  <c r="AC32" i="1" s="1"/>
  <c r="X39" i="1"/>
  <c r="Z39" i="1"/>
  <c r="AA39" i="1" s="1"/>
  <c r="AC39" i="1" s="1"/>
  <c r="X19" i="1"/>
  <c r="AA4" i="1" l="1"/>
  <c r="Z36" i="1"/>
  <c r="X36" i="1"/>
  <c r="U36" i="1"/>
  <c r="T36" i="1"/>
  <c r="AC38" i="1"/>
  <c r="AA44" i="1"/>
  <c r="U27" i="1"/>
  <c r="V27" i="1" s="1"/>
  <c r="AE27" i="1" s="1"/>
  <c r="U19" i="1"/>
  <c r="V19" i="1" s="1"/>
  <c r="AE19" i="1" s="1"/>
  <c r="U20" i="1"/>
  <c r="V20" i="1" s="1"/>
  <c r="AE20" i="1" s="1"/>
  <c r="U8" i="1"/>
  <c r="V8" i="1" s="1"/>
  <c r="AE8" i="1" s="1"/>
  <c r="U38" i="1"/>
  <c r="V38" i="1" s="1"/>
  <c r="AE38" i="1" s="1"/>
  <c r="AE44" i="1" s="1"/>
  <c r="U30" i="1"/>
  <c r="V30" i="1" s="1"/>
  <c r="AE30" i="1" s="1"/>
  <c r="U33" i="1"/>
  <c r="V33" i="1" s="1"/>
  <c r="AE33" i="1" s="1"/>
  <c r="U11" i="1"/>
  <c r="X44" i="1"/>
  <c r="Z44" i="1"/>
  <c r="R46" i="1"/>
  <c r="AE3" i="1" l="1"/>
  <c r="AE36" i="1" s="1"/>
  <c r="V36" i="1"/>
  <c r="AC4" i="1"/>
  <c r="AC36" i="1" s="1"/>
  <c r="AA36" i="1"/>
  <c r="V11" i="1"/>
  <c r="AE11" i="1" s="1"/>
  <c r="AC44" i="1"/>
</calcChain>
</file>

<file path=xl/sharedStrings.xml><?xml version="1.0" encoding="utf-8"?>
<sst xmlns="http://schemas.openxmlformats.org/spreadsheetml/2006/main" count="209" uniqueCount="127">
  <si>
    <t>Item ID</t>
  </si>
  <si>
    <t>Item Description</t>
  </si>
  <si>
    <t>ene</t>
  </si>
  <si>
    <t>feb</t>
  </si>
  <si>
    <t>mar</t>
  </si>
  <si>
    <t>abr</t>
  </si>
  <si>
    <t>may</t>
  </si>
  <si>
    <t>jun</t>
  </si>
  <si>
    <t>jul</t>
  </si>
  <si>
    <t>ago</t>
  </si>
  <si>
    <t>PT10001</t>
  </si>
  <si>
    <t>PIPAS E SAL - PACAS 400 U T-10</t>
  </si>
  <si>
    <t>PT10002</t>
  </si>
  <si>
    <t>PIPAS E SAL - PACAS 400 U T-20</t>
  </si>
  <si>
    <t>PT10003</t>
  </si>
  <si>
    <t>PIPAS E SAL 36 U GRN 120G</t>
  </si>
  <si>
    <t>PT10004</t>
  </si>
  <si>
    <t>C PIPAS E SAL 36 U GRN 120G</t>
  </si>
  <si>
    <t>PT11001</t>
  </si>
  <si>
    <t>PIPAS E PIC - PACAS 400 U T-10</t>
  </si>
  <si>
    <t>PT11002</t>
  </si>
  <si>
    <t>PIPAS E PIC - PACAS 400 U T-20</t>
  </si>
  <si>
    <t>PT11003</t>
  </si>
  <si>
    <t>PIPAS E PIC 36 U GRN 120G</t>
  </si>
  <si>
    <t>PT11004</t>
  </si>
  <si>
    <t>C PIPAS E PIC 36 U GRN 120G</t>
  </si>
  <si>
    <t>PT12001</t>
  </si>
  <si>
    <t>PIPAS E LIM - PACAS 400 U T-10</t>
  </si>
  <si>
    <t>PT12002</t>
  </si>
  <si>
    <t>PIPAS E LIM - PACAS 400 U T-20</t>
  </si>
  <si>
    <t>PT12003</t>
  </si>
  <si>
    <t>PIPAS E LIM 36 U GRN 120G</t>
  </si>
  <si>
    <t>PT12004</t>
  </si>
  <si>
    <t>C PIPAS E LIM 36 U GRN 120G</t>
  </si>
  <si>
    <t>PT13001</t>
  </si>
  <si>
    <t>PIPAS E MAR - PACAS 400 U T-10</t>
  </si>
  <si>
    <t>PT20001</t>
  </si>
  <si>
    <t>PIPAS MGA VER-PACAS 400 T-10</t>
  </si>
  <si>
    <t>PT20002</t>
  </si>
  <si>
    <t>PIPAS MGA VER-PACAS 400 T-20</t>
  </si>
  <si>
    <t>PT20003</t>
  </si>
  <si>
    <t>PIPAS MGA VER 36 U GRN 120 G</t>
  </si>
  <si>
    <t>PT20004</t>
  </si>
  <si>
    <t>C PIPAS MGA VER 36 U GRN 120G</t>
  </si>
  <si>
    <t>PT20006</t>
  </si>
  <si>
    <t>PIPAS MGA VER PACA 400 U GRN</t>
  </si>
  <si>
    <t>PT21001</t>
  </si>
  <si>
    <t>PIPAS MGA ACID-LEM-PAC 400 T10</t>
  </si>
  <si>
    <t>PT21002</t>
  </si>
  <si>
    <t>PIPAS MGA ACID-LEM-PAC 400 T20</t>
  </si>
  <si>
    <t>PT21003</t>
  </si>
  <si>
    <t>PIPAS MGA ACID-LEM 36 U GR 120</t>
  </si>
  <si>
    <t>PT21004</t>
  </si>
  <si>
    <t>C PIPAS MGA AC-LEM 36 U 120 GR</t>
  </si>
  <si>
    <t>PT21005</t>
  </si>
  <si>
    <t>PIPAS MGA ACID-LEM PACA 400 GR</t>
  </si>
  <si>
    <t>PT22001</t>
  </si>
  <si>
    <t>PIPAS MGA MRAC-LIM-PAC 400 T10</t>
  </si>
  <si>
    <t>PT22002</t>
  </si>
  <si>
    <t>PIPAS MGA MRAC-LIM-PAC 400 T20</t>
  </si>
  <si>
    <t>PT23001</t>
  </si>
  <si>
    <t>PIPAS MGA PIC-LIM-PAC 400 T-10</t>
  </si>
  <si>
    <t>PT23002</t>
  </si>
  <si>
    <t>PIPAS MGA PIC-LIM-PAC 400 T-20</t>
  </si>
  <si>
    <t>PT30001</t>
  </si>
  <si>
    <t>C PIPAS SPINNY SAL CAJA 24U120</t>
  </si>
  <si>
    <t>PT70001</t>
  </si>
  <si>
    <t>POLVO MEGA LIMON PAC 60 SOL</t>
  </si>
  <si>
    <t>PT70002</t>
  </si>
  <si>
    <t>POLVO MEGA LIMON GRN</t>
  </si>
  <si>
    <t>PT71001</t>
  </si>
  <si>
    <t>POLVO MEGA MARACYA PAC 60 SOL</t>
  </si>
  <si>
    <t>PT71002</t>
  </si>
  <si>
    <t>POLVO MEGA MARACUYA GRN</t>
  </si>
  <si>
    <t>PT72001</t>
  </si>
  <si>
    <t>POLVO MGA MIX LIM-MARC  60 SOL</t>
  </si>
  <si>
    <t>PT22003</t>
  </si>
  <si>
    <t>PIPAS MGA MRAC-LIM 36 U  120 G</t>
  </si>
  <si>
    <t>PT22004</t>
  </si>
  <si>
    <t>C PIPAS MGA MRAC-LIM 36 U 120G</t>
  </si>
  <si>
    <t>KILOS DIARIOS</t>
  </si>
  <si>
    <t>HORNO PEQ</t>
  </si>
  <si>
    <t>8H</t>
  </si>
  <si>
    <t>10.5H</t>
  </si>
  <si>
    <t>HORNO GRAN</t>
  </si>
  <si>
    <t>PT10009</t>
  </si>
  <si>
    <t>PT20008</t>
  </si>
  <si>
    <t>PIPAS MGA VER-COLOM 400 T-20</t>
  </si>
  <si>
    <t>PT20009</t>
  </si>
  <si>
    <t>PIPAS MGA VER DEGUSTACION</t>
  </si>
  <si>
    <t>STOK SEMANAL PACAS PROMEDIO</t>
  </si>
  <si>
    <t>sep</t>
  </si>
  <si>
    <t>PT13002</t>
  </si>
  <si>
    <t>PIPAS E MAR - PACAS 400 U T-20</t>
  </si>
  <si>
    <t>ITEM</t>
  </si>
  <si>
    <t>DESCRIPCION</t>
  </si>
  <si>
    <t>INGRESOS</t>
  </si>
  <si>
    <t>DESPACHOS</t>
  </si>
  <si>
    <t>SALDO</t>
  </si>
  <si>
    <t>PIPAS E SAL DEGUSTACION</t>
  </si>
  <si>
    <t>POLVO MGA MIX LIM-MARC  60 SOL</t>
  </si>
  <si>
    <t>PIPAS MGA MRAC-LIM 36 U  120 G</t>
  </si>
  <si>
    <t>PT20012</t>
  </si>
  <si>
    <t>PIPAS MGA VER 24G PACA 400U GRN</t>
  </si>
  <si>
    <t>PT10012</t>
  </si>
  <si>
    <t>PIPAS E SAL 24G PACA 400 U GRN</t>
  </si>
  <si>
    <t>PT21006</t>
  </si>
  <si>
    <t>PIPAS MGA ACID-LEM P 400 T20+2</t>
  </si>
  <si>
    <t>oct</t>
  </si>
  <si>
    <t>nov</t>
  </si>
  <si>
    <t>dic</t>
  </si>
  <si>
    <t>UNIDAD MANEJO</t>
  </si>
  <si>
    <t>KG</t>
  </si>
  <si>
    <t>UNIDADES MENSUALES</t>
  </si>
  <si>
    <t>UNIDADES DIARIAS</t>
  </si>
  <si>
    <t>PACAS PROMEDIO MENSUAL</t>
  </si>
  <si>
    <t>(+) % INCREMENTO</t>
  </si>
  <si>
    <t>PACAS PRODUCCION DIARIA</t>
  </si>
  <si>
    <t>STOCK ACTUAL BODEGA</t>
  </si>
  <si>
    <t>KILOS A CUMPLIR</t>
  </si>
  <si>
    <t>DIF PACAS</t>
  </si>
  <si>
    <t>DIF UNIDADES</t>
  </si>
  <si>
    <t xml:space="preserve">TOTAL PACAS </t>
  </si>
  <si>
    <t>Ventas 2023</t>
  </si>
  <si>
    <t>CALCULO</t>
  </si>
  <si>
    <t>CONDICIONALES</t>
  </si>
  <si>
    <t>PT20001PT20001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</si>
</sst>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BFBFBF"/>
      </top>
      <bottom style="medium">
        <color rgb="FFBFBFBF"/>
      </bottom>
      <diagonal/>
    </border>
    <border>
      <left/>
      <right style="medium">
        <color rgb="FFD9D9D9"/>
      </right>
      <top style="medium">
        <color rgb="FFBFBFBF"/>
      </top>
      <bottom style="medium">
        <color rgb="FFBFBFBF"/>
      </bottom>
      <diagonal/>
    </border>
    <border>
      <left style="medium">
        <color rgb="FFD9D9D9"/>
      </left>
      <right style="medium">
        <color rgb="FFD9D9D9"/>
      </right>
      <top/>
      <bottom/>
      <diagonal/>
    </border>
    <border>
      <left/>
      <right style="medium">
        <color rgb="FFD9D9D9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43" fontId="0" fillId="0" borderId="0" xfId="1" applyFont="1"/>
    <xf numFmtId="43" fontId="2" fillId="0" borderId="0" xfId="1" applyFont="1"/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0" applyNumberFormat="1"/>
    <xf numFmtId="0" fontId="0" fillId="0" borderId="0" xfId="0" applyAlignment="1">
      <alignment horizontal="right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right" vertical="center"/>
    </xf>
    <xf numFmtId="0" fontId="8" fillId="0" borderId="0" xfId="0" applyFont="1"/>
    <xf numFmtId="0" fontId="9" fillId="0" borderId="0" xfId="0" applyFont="1"/>
    <xf numFmtId="43" fontId="3" fillId="5" borderId="5" xfId="0" applyNumberFormat="1" applyFont="1" applyFill="1" applyBorder="1"/>
    <xf numFmtId="43" fontId="3" fillId="5" borderId="5" xfId="1" applyFont="1" applyFill="1" applyBorder="1"/>
    <xf numFmtId="3" fontId="2" fillId="0" borderId="0" xfId="1" applyNumberFormat="1" applyFont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2" applyFont="1"/>
    <xf numFmtId="9" fontId="2" fillId="0" borderId="0" xfId="2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3" fontId="10" fillId="0" borderId="0" xfId="0" applyNumberFormat="1" applyFont="1" applyAlignment="1">
      <alignment horizontal="center" vertical="center" wrapText="1"/>
    </xf>
    <xf numFmtId="3" fontId="3" fillId="5" borderId="5" xfId="1" applyNumberFormat="1" applyFont="1" applyFill="1" applyBorder="1" applyAlignment="1">
      <alignment horizontal="center"/>
    </xf>
    <xf numFmtId="3" fontId="3" fillId="5" borderId="5" xfId="0" applyNumberFormat="1" applyFont="1" applyFill="1" applyBorder="1" applyAlignment="1">
      <alignment horizontal="center"/>
    </xf>
    <xf numFmtId="9" fontId="10" fillId="6" borderId="0" xfId="0" applyNumberFormat="1" applyFont="1" applyFill="1" applyAlignment="1">
      <alignment horizontal="center" vertical="center" wrapText="1"/>
    </xf>
    <xf numFmtId="3" fontId="2" fillId="6" borderId="0" xfId="1" applyNumberFormat="1" applyFont="1" applyFill="1" applyAlignment="1">
      <alignment horizontal="center"/>
    </xf>
    <xf numFmtId="3" fontId="0" fillId="0" borderId="0" xfId="1" applyNumberFormat="1" applyFont="1" applyFill="1" applyAlignment="1">
      <alignment horizontal="center"/>
    </xf>
    <xf numFmtId="3" fontId="2" fillId="0" borderId="0" xfId="2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7" borderId="5" xfId="1" applyNumberFormat="1" applyFont="1" applyFill="1" applyBorder="1" applyAlignment="1">
      <alignment horizontal="center"/>
    </xf>
    <xf numFmtId="3" fontId="3" fillId="7" borderId="5" xfId="0" applyNumberFormat="1" applyFont="1" applyFill="1" applyBorder="1" applyAlignment="1">
      <alignment horizontal="center"/>
    </xf>
    <xf numFmtId="43" fontId="3" fillId="7" borderId="5" xfId="0" applyNumberFormat="1" applyFont="1" applyFill="1" applyBorder="1"/>
    <xf numFmtId="43" fontId="3" fillId="8" borderId="5" xfId="0" applyNumberFormat="1" applyFont="1" applyFill="1" applyBorder="1"/>
    <xf numFmtId="3" fontId="3" fillId="8" borderId="5" xfId="0" applyNumberFormat="1" applyFont="1" applyFill="1" applyBorder="1" applyAlignment="1">
      <alignment horizontal="center"/>
    </xf>
    <xf numFmtId="3" fontId="3" fillId="8" borderId="0" xfId="0" applyNumberFormat="1" applyFont="1" applyFill="1" applyAlignment="1">
      <alignment horizontal="center"/>
    </xf>
    <xf numFmtId="0" fontId="0" fillId="8" borderId="0" xfId="0" applyFill="1"/>
    <xf numFmtId="3" fontId="0" fillId="8" borderId="0" xfId="0" applyNumberFormat="1" applyFill="1" applyAlignment="1">
      <alignment horizontal="center"/>
    </xf>
    <xf numFmtId="3" fontId="2" fillId="0" borderId="0" xfId="1" applyNumberFormat="1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2" fillId="0" borderId="0" xfId="2" applyNumberFormat="1" applyFont="1" applyFill="1" applyBorder="1" applyAlignment="1">
      <alignment horizontal="center"/>
    </xf>
    <xf numFmtId="43" fontId="2" fillId="0" borderId="0" xfId="1" applyFont="1" applyFill="1" applyBorder="1"/>
    <xf numFmtId="43" fontId="3" fillId="0" borderId="0" xfId="1" applyFont="1" applyFill="1" applyBorder="1"/>
    <xf numFmtId="43" fontId="3" fillId="0" borderId="0" xfId="0" applyNumberFormat="1" applyFont="1"/>
    <xf numFmtId="3" fontId="0" fillId="0" borderId="0" xfId="0" applyNumberFormat="1"/>
    <xf numFmtId="9" fontId="12" fillId="0" borderId="0" xfId="0" applyNumberFormat="1" applyFont="1" applyAlignment="1">
      <alignment horizontal="center" vertical="center" wrapText="1"/>
    </xf>
    <xf numFmtId="0" fontId="0" fillId="9" borderId="0" xfId="0" applyFill="1"/>
    <xf numFmtId="0" fontId="2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0D08-E56C-4BDF-AB57-B92654619DE4}">
  <dimension ref="A1:B15"/>
  <sheetViews>
    <sheetView workbookViewId="0">
      <selection activeCell="B2" sqref="B2"/>
    </sheetView>
  </sheetViews>
  <sheetFormatPr baseColWidth="10" defaultRowHeight="15" x14ac:dyDescent="0.2"/>
  <sheetData>
    <row r="1" spans="1:2" x14ac:dyDescent="0.2">
      <c r="B1" s="3" t="s">
        <v>81</v>
      </c>
    </row>
    <row r="2" spans="1:2" x14ac:dyDescent="0.2">
      <c r="A2" s="6" t="s">
        <v>82</v>
      </c>
      <c r="B2" s="1">
        <f>400*8</f>
        <v>3200</v>
      </c>
    </row>
    <row r="3" spans="1:2" x14ac:dyDescent="0.2">
      <c r="A3" s="6" t="s">
        <v>83</v>
      </c>
      <c r="B3" s="1">
        <f>450*10.5</f>
        <v>4725</v>
      </c>
    </row>
    <row r="4" spans="1:2" x14ac:dyDescent="0.2">
      <c r="A4" s="6"/>
    </row>
    <row r="5" spans="1:2" x14ac:dyDescent="0.2">
      <c r="A5" s="6"/>
      <c r="B5" s="4" t="s">
        <v>84</v>
      </c>
    </row>
    <row r="6" spans="1:2" x14ac:dyDescent="0.2">
      <c r="A6" s="6" t="s">
        <v>82</v>
      </c>
      <c r="B6" s="1">
        <f>420*8</f>
        <v>3360</v>
      </c>
    </row>
    <row r="7" spans="1:2" x14ac:dyDescent="0.2">
      <c r="A7" s="6" t="s">
        <v>83</v>
      </c>
      <c r="B7" s="1">
        <f>550*10.5</f>
        <v>5775</v>
      </c>
    </row>
    <row r="13" spans="1:2" x14ac:dyDescent="0.2">
      <c r="B13" s="5">
        <f>+B2</f>
        <v>3200</v>
      </c>
    </row>
    <row r="14" spans="1:2" x14ac:dyDescent="0.2">
      <c r="B14" s="5"/>
    </row>
    <row r="15" spans="1:2" x14ac:dyDescent="0.2">
      <c r="B15" s="5">
        <f>+B2+B6</f>
        <v>6560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1199-8922-41FD-A55A-639E2B27EAC6}">
  <sheetPr codeName="Hoja1">
    <pageSetUpPr fitToPage="1"/>
  </sheetPr>
  <dimension ref="A1:AE50"/>
  <sheetViews>
    <sheetView tabSelected="1" zoomScale="130" zoomScaleNormal="130" workbookViewId="0">
      <pane xSplit="2" ySplit="2" topLeftCell="R3" activePane="bottomRight" state="frozen"/>
      <selection pane="topRight" activeCell="C1" sqref="C1"/>
      <selection pane="bottomLeft" activeCell="A2" sqref="A2"/>
      <selection pane="bottomRight" activeCell="A3" sqref="A3:A21"/>
    </sheetView>
  </sheetViews>
  <sheetFormatPr baseColWidth="10" defaultRowHeight="15" x14ac:dyDescent="0.2"/>
  <cols>
    <col min="1" max="1" width="8.1640625" bestFit="1" customWidth="1"/>
    <col min="2" max="2" width="32.83203125" bestFit="1" customWidth="1"/>
    <col min="3" max="10" width="10.5" bestFit="1" customWidth="1"/>
    <col min="11" max="11" width="10.5" customWidth="1"/>
    <col min="12" max="12" width="9.5" bestFit="1" customWidth="1"/>
    <col min="13" max="13" width="8.5" bestFit="1" customWidth="1"/>
    <col min="14" max="14" width="7.6640625" bestFit="1" customWidth="1"/>
    <col min="15" max="15" width="16.1640625" style="4" bestFit="1" customWidth="1"/>
    <col min="16" max="16" width="9.83203125" style="4" customWidth="1"/>
    <col min="17" max="17" width="28.1640625" bestFit="1" customWidth="1"/>
    <col min="18" max="18" width="20.1640625" bestFit="1" customWidth="1"/>
    <col min="19" max="19" width="24.33203125" bestFit="1" customWidth="1"/>
    <col min="20" max="20" width="32.6640625" bestFit="1" customWidth="1"/>
    <col min="21" max="21" width="13.5" bestFit="1" customWidth="1"/>
    <col min="22" max="22" width="16.5" style="22" bestFit="1" customWidth="1"/>
    <col min="23" max="23" width="4.33203125" style="22" customWidth="1"/>
    <col min="24" max="24" width="27.6640625" style="22" bestFit="1" customWidth="1"/>
    <col min="25" max="25" width="19" style="22" bestFit="1" customWidth="1"/>
    <col min="26" max="26" width="32.1640625" style="22" customWidth="1"/>
    <col min="27" max="27" width="23" style="22" customWidth="1"/>
    <col min="28" max="28" width="15.5" bestFit="1" customWidth="1"/>
    <col min="29" max="29" width="16.6640625" style="22" bestFit="1" customWidth="1"/>
    <col min="30" max="30" width="3" customWidth="1"/>
    <col min="31" max="31" width="19" style="22" bestFit="1" customWidth="1"/>
  </cols>
  <sheetData>
    <row r="1" spans="1:31" x14ac:dyDescent="0.2">
      <c r="A1" s="58" t="s">
        <v>123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Q1" s="56"/>
      <c r="R1" s="57" t="s">
        <v>124</v>
      </c>
      <c r="S1" s="3" t="s">
        <v>97</v>
      </c>
      <c r="T1" s="3" t="s">
        <v>124</v>
      </c>
      <c r="U1" s="3" t="s">
        <v>124</v>
      </c>
      <c r="V1" s="3" t="s">
        <v>124</v>
      </c>
      <c r="X1" s="3" t="s">
        <v>124</v>
      </c>
      <c r="Y1" s="22" t="s">
        <v>125</v>
      </c>
      <c r="Z1" s="3" t="s">
        <v>124</v>
      </c>
      <c r="AA1" s="3" t="s">
        <v>124</v>
      </c>
      <c r="AB1" s="22" t="s">
        <v>125</v>
      </c>
      <c r="AC1" s="3" t="s">
        <v>124</v>
      </c>
      <c r="AE1" s="3" t="s">
        <v>124</v>
      </c>
    </row>
    <row r="2" spans="1:31" s="29" customFormat="1" x14ac:dyDescent="0.2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91</v>
      </c>
      <c r="L2" s="25" t="s">
        <v>108</v>
      </c>
      <c r="M2" s="25" t="s">
        <v>109</v>
      </c>
      <c r="N2" s="25" t="s">
        <v>110</v>
      </c>
      <c r="O2" s="26" t="s">
        <v>122</v>
      </c>
      <c r="P2" s="25"/>
      <c r="Q2" s="26" t="s">
        <v>115</v>
      </c>
      <c r="R2" s="55" t="s">
        <v>116</v>
      </c>
      <c r="S2" s="33" t="s">
        <v>118</v>
      </c>
      <c r="T2" s="27" t="s">
        <v>90</v>
      </c>
      <c r="U2" s="27" t="s">
        <v>120</v>
      </c>
      <c r="V2" s="27" t="s">
        <v>121</v>
      </c>
      <c r="W2" s="27"/>
      <c r="X2" s="30" t="s">
        <v>117</v>
      </c>
      <c r="Y2" s="30" t="s">
        <v>111</v>
      </c>
      <c r="Z2" s="30" t="s">
        <v>113</v>
      </c>
      <c r="AA2" s="30" t="s">
        <v>114</v>
      </c>
      <c r="AB2" s="28" t="s">
        <v>112</v>
      </c>
      <c r="AC2" s="30" t="s">
        <v>80</v>
      </c>
      <c r="AE2" s="30" t="s">
        <v>119</v>
      </c>
    </row>
    <row r="3" spans="1:31" x14ac:dyDescent="0.2">
      <c r="A3" t="s">
        <v>10</v>
      </c>
      <c r="B3" t="s">
        <v>11</v>
      </c>
      <c r="C3" s="1">
        <v>1016.5</v>
      </c>
      <c r="D3" s="1">
        <v>658.5</v>
      </c>
      <c r="E3" s="1">
        <v>756</v>
      </c>
      <c r="F3" s="1">
        <v>679.5</v>
      </c>
      <c r="G3" s="1">
        <v>895.5</v>
      </c>
      <c r="H3" s="1">
        <v>789</v>
      </c>
      <c r="I3" s="1">
        <v>735</v>
      </c>
      <c r="J3" s="1">
        <v>905</v>
      </c>
      <c r="K3" s="1">
        <v>745</v>
      </c>
      <c r="L3" s="1">
        <v>100.5</v>
      </c>
      <c r="M3" s="1"/>
      <c r="N3" s="1"/>
      <c r="O3" s="2">
        <f>SUM(C3:N3)</f>
        <v>7280.5</v>
      </c>
      <c r="P3" s="51"/>
      <c r="Q3" s="20">
        <f>+AVERAGE(C3:K3)</f>
        <v>797.77777777777783</v>
      </c>
      <c r="R3" s="20">
        <f>Q3*$R$47+Q3</f>
        <v>885.53333333333342</v>
      </c>
      <c r="S3" s="34">
        <f>+VLOOKUP(A3,'INVENTARIO ACTUAL'!$A$2:$E$42,5,FALSE)</f>
        <v>412.5</v>
      </c>
      <c r="T3" s="20">
        <f>+R3/4</f>
        <v>221.38333333333335</v>
      </c>
      <c r="U3" s="20">
        <f>+S3-T3</f>
        <v>191.11666666666665</v>
      </c>
      <c r="V3" s="20">
        <f>+U3*Y3</f>
        <v>76446.666666666657</v>
      </c>
      <c r="W3" s="46"/>
      <c r="X3" s="21">
        <f t="shared" ref="X3:X21" si="0">+R3/20</f>
        <v>44.276666666666671</v>
      </c>
      <c r="Y3" s="21">
        <v>400</v>
      </c>
      <c r="Z3" s="22">
        <f t="shared" ref="Z3:Z21" si="1">+R3*Y3</f>
        <v>354213.33333333337</v>
      </c>
      <c r="AA3" s="22">
        <f>+Z3/20</f>
        <v>17710.666666666668</v>
      </c>
      <c r="AB3">
        <v>1.9E-2</v>
      </c>
      <c r="AC3" s="21">
        <f>+AA3*AB3</f>
        <v>336.5026666666667</v>
      </c>
      <c r="AE3" s="20">
        <f>+IF(V3&lt;=0,V3*AB3,0)</f>
        <v>0</v>
      </c>
    </row>
    <row r="4" spans="1:31" x14ac:dyDescent="0.2">
      <c r="A4" t="s">
        <v>12</v>
      </c>
      <c r="B4" t="s">
        <v>13</v>
      </c>
      <c r="C4" s="1">
        <v>699.5</v>
      </c>
      <c r="D4" s="1">
        <v>522</v>
      </c>
      <c r="E4" s="1">
        <v>643</v>
      </c>
      <c r="F4" s="1">
        <v>588</v>
      </c>
      <c r="G4" s="1">
        <v>591</v>
      </c>
      <c r="H4" s="1">
        <v>536</v>
      </c>
      <c r="I4" s="1">
        <v>563</v>
      </c>
      <c r="J4" s="1">
        <v>617</v>
      </c>
      <c r="K4" s="1">
        <v>565</v>
      </c>
      <c r="L4" s="1">
        <v>88</v>
      </c>
      <c r="M4" s="1"/>
      <c r="N4" s="1"/>
      <c r="O4" s="2">
        <f t="shared" ref="O4:O35" si="2">SUM(C4:N4)</f>
        <v>5412.5</v>
      </c>
      <c r="P4" s="51"/>
      <c r="Q4" s="20">
        <f t="shared" ref="Q4:Q20" si="3">+AVERAGE(C4:K4)</f>
        <v>591.61111111111109</v>
      </c>
      <c r="R4" s="20">
        <f t="shared" ref="R4:R20" si="4">+Q4*$R$47+Q4</f>
        <v>656.68833333333328</v>
      </c>
      <c r="S4" s="34">
        <f>+VLOOKUP(A4,'INVENTARIO ACTUAL'!$A$2:$E$42,5,FALSE)</f>
        <v>280</v>
      </c>
      <c r="T4" s="20">
        <f t="shared" ref="T4:T35" si="5">+R4/4</f>
        <v>164.17208333333332</v>
      </c>
      <c r="U4" s="20">
        <f t="shared" ref="U4:U35" si="6">+S4-T4</f>
        <v>115.82791666666668</v>
      </c>
      <c r="V4" s="20">
        <f t="shared" ref="V4:V35" si="7">+U4*Y4</f>
        <v>46331.166666666672</v>
      </c>
      <c r="W4" s="46"/>
      <c r="X4" s="21">
        <f t="shared" si="0"/>
        <v>32.834416666666662</v>
      </c>
      <c r="Y4" s="21">
        <v>400</v>
      </c>
      <c r="Z4" s="22">
        <f t="shared" si="1"/>
        <v>262675.33333333331</v>
      </c>
      <c r="AA4" s="22">
        <f t="shared" ref="AA4:AA35" si="8">+Z4/20</f>
        <v>13133.766666666666</v>
      </c>
      <c r="AB4">
        <v>1.9E-2</v>
      </c>
      <c r="AC4" s="21">
        <f t="shared" ref="AC4:AC35" si="9">+AA4*AB4</f>
        <v>249.54156666666665</v>
      </c>
      <c r="AE4" s="20">
        <f t="shared" ref="AE4:AE35" si="10">+IF(V4&lt;=0,V4*AB4,0)</f>
        <v>0</v>
      </c>
    </row>
    <row r="5" spans="1:31" x14ac:dyDescent="0.2">
      <c r="A5" t="s">
        <v>126</v>
      </c>
      <c r="B5" t="s">
        <v>19</v>
      </c>
      <c r="C5" s="1">
        <v>63.5</v>
      </c>
      <c r="D5" s="1">
        <v>36</v>
      </c>
      <c r="E5" s="1">
        <v>79</v>
      </c>
      <c r="F5" s="1">
        <v>85</v>
      </c>
      <c r="G5" s="1">
        <v>93</v>
      </c>
      <c r="H5" s="1">
        <v>54</v>
      </c>
      <c r="I5" s="1">
        <v>62</v>
      </c>
      <c r="J5" s="1">
        <v>73</v>
      </c>
      <c r="K5" s="1">
        <v>53</v>
      </c>
      <c r="L5" s="1">
        <v>9</v>
      </c>
      <c r="M5" s="1"/>
      <c r="N5" s="1"/>
      <c r="O5" s="2">
        <f t="shared" si="2"/>
        <v>607.5</v>
      </c>
      <c r="P5" s="51"/>
      <c r="Q5" s="20">
        <f t="shared" si="3"/>
        <v>66.5</v>
      </c>
      <c r="R5" s="20">
        <f>+Q5*$R$47+Q5</f>
        <v>73.814999999999998</v>
      </c>
      <c r="S5" s="34" t="e">
        <f>+VLOOKUP(A5,'INVENTARIO ACTUAL'!$A$2:$E$42,5,FALSE)</f>
        <v>#N/A</v>
      </c>
      <c r="T5" s="20">
        <f>+R5/4</f>
        <v>18.453749999999999</v>
      </c>
      <c r="U5" s="20" t="e">
        <f t="shared" si="6"/>
        <v>#N/A</v>
      </c>
      <c r="V5" s="20" t="e">
        <f t="shared" si="7"/>
        <v>#N/A</v>
      </c>
      <c r="W5" s="46"/>
      <c r="X5" s="21">
        <f t="shared" si="0"/>
        <v>3.69075</v>
      </c>
      <c r="Y5" s="21">
        <v>400</v>
      </c>
      <c r="Z5" s="22">
        <f t="shared" si="1"/>
        <v>29526</v>
      </c>
      <c r="AA5" s="22">
        <f t="shared" si="8"/>
        <v>1476.3</v>
      </c>
      <c r="AB5">
        <v>1.9E-2</v>
      </c>
      <c r="AC5" s="21">
        <f t="shared" si="9"/>
        <v>28.049699999999998</v>
      </c>
      <c r="AE5" s="20" t="e">
        <f t="shared" si="10"/>
        <v>#N/A</v>
      </c>
    </row>
    <row r="6" spans="1:31" x14ac:dyDescent="0.2">
      <c r="A6" t="s">
        <v>20</v>
      </c>
      <c r="B6" t="s">
        <v>21</v>
      </c>
      <c r="C6" s="1">
        <v>17</v>
      </c>
      <c r="D6" s="1">
        <v>9</v>
      </c>
      <c r="E6" s="1">
        <v>15</v>
      </c>
      <c r="F6" s="1">
        <v>5</v>
      </c>
      <c r="G6" s="1">
        <v>8</v>
      </c>
      <c r="H6" s="1">
        <v>8</v>
      </c>
      <c r="I6" s="1">
        <v>15</v>
      </c>
      <c r="J6" s="1">
        <v>18</v>
      </c>
      <c r="K6" s="1">
        <v>8</v>
      </c>
      <c r="L6" s="1">
        <v>2</v>
      </c>
      <c r="M6" s="1"/>
      <c r="N6" s="1"/>
      <c r="O6" s="2">
        <f t="shared" si="2"/>
        <v>105</v>
      </c>
      <c r="P6" s="51"/>
      <c r="Q6" s="20">
        <f t="shared" si="3"/>
        <v>11.444444444444445</v>
      </c>
      <c r="R6" s="20">
        <f t="shared" si="4"/>
        <v>12.703333333333333</v>
      </c>
      <c r="S6" s="34">
        <f>+VLOOKUP(A6,'INVENTARIO ACTUAL'!$A$2:$E$42,5,FALSE)</f>
        <v>11</v>
      </c>
      <c r="T6" s="20">
        <f t="shared" si="5"/>
        <v>3.1758333333333333</v>
      </c>
      <c r="U6" s="20">
        <f t="shared" si="6"/>
        <v>7.8241666666666667</v>
      </c>
      <c r="V6" s="20">
        <f t="shared" si="7"/>
        <v>3129.6666666666665</v>
      </c>
      <c r="W6" s="46"/>
      <c r="X6" s="21">
        <f t="shared" si="0"/>
        <v>0.63516666666666666</v>
      </c>
      <c r="Y6" s="21">
        <v>400</v>
      </c>
      <c r="Z6" s="22">
        <f t="shared" si="1"/>
        <v>5081.333333333333</v>
      </c>
      <c r="AA6" s="22">
        <f t="shared" si="8"/>
        <v>254.06666666666666</v>
      </c>
      <c r="AB6">
        <v>1.9E-2</v>
      </c>
      <c r="AC6" s="21">
        <f t="shared" si="9"/>
        <v>4.8272666666666666</v>
      </c>
      <c r="AE6" s="20">
        <f t="shared" si="10"/>
        <v>0</v>
      </c>
    </row>
    <row r="7" spans="1:31" x14ac:dyDescent="0.2">
      <c r="A7" t="s">
        <v>26</v>
      </c>
      <c r="B7" t="s">
        <v>27</v>
      </c>
      <c r="C7" s="1">
        <v>533</v>
      </c>
      <c r="D7" s="1">
        <v>481</v>
      </c>
      <c r="E7" s="1">
        <v>544</v>
      </c>
      <c r="F7" s="1">
        <v>418.5</v>
      </c>
      <c r="G7" s="1">
        <v>606</v>
      </c>
      <c r="H7" s="1">
        <v>496</v>
      </c>
      <c r="I7" s="1">
        <v>562.5</v>
      </c>
      <c r="J7" s="1">
        <v>559</v>
      </c>
      <c r="K7" s="1">
        <v>514</v>
      </c>
      <c r="L7" s="1">
        <v>68</v>
      </c>
      <c r="M7" s="1"/>
      <c r="N7" s="1"/>
      <c r="O7" s="2">
        <f t="shared" si="2"/>
        <v>4782</v>
      </c>
      <c r="P7" s="51"/>
      <c r="Q7" s="20">
        <f t="shared" si="3"/>
        <v>523.77777777777783</v>
      </c>
      <c r="R7" s="20">
        <f t="shared" si="4"/>
        <v>581.39333333333343</v>
      </c>
      <c r="S7" s="34">
        <f>+VLOOKUP(A7,'INVENTARIO ACTUAL'!$A$2:$E$42,5,FALSE)</f>
        <v>43</v>
      </c>
      <c r="T7" s="20">
        <f t="shared" si="5"/>
        <v>145.34833333333336</v>
      </c>
      <c r="U7" s="20">
        <f>+S7-T7</f>
        <v>-102.34833333333336</v>
      </c>
      <c r="V7" s="20">
        <f t="shared" si="7"/>
        <v>-40939.333333333343</v>
      </c>
      <c r="W7" s="46"/>
      <c r="X7" s="21">
        <f t="shared" si="0"/>
        <v>29.06966666666667</v>
      </c>
      <c r="Y7" s="21">
        <v>400</v>
      </c>
      <c r="Z7" s="22">
        <f t="shared" si="1"/>
        <v>232557.33333333337</v>
      </c>
      <c r="AA7" s="22">
        <f t="shared" si="8"/>
        <v>11627.866666666669</v>
      </c>
      <c r="AB7">
        <v>1.9E-2</v>
      </c>
      <c r="AC7" s="21">
        <f t="shared" si="9"/>
        <v>220.92946666666668</v>
      </c>
      <c r="AE7" s="20">
        <f t="shared" si="10"/>
        <v>-777.84733333333349</v>
      </c>
    </row>
    <row r="8" spans="1:31" x14ac:dyDescent="0.2">
      <c r="A8" t="s">
        <v>28</v>
      </c>
      <c r="B8" t="s">
        <v>29</v>
      </c>
      <c r="C8" s="1">
        <v>150</v>
      </c>
      <c r="D8" s="1">
        <v>81</v>
      </c>
      <c r="E8" s="1">
        <v>76</v>
      </c>
      <c r="F8" s="1">
        <v>91</v>
      </c>
      <c r="G8" s="1">
        <v>102</v>
      </c>
      <c r="H8" s="1">
        <v>77</v>
      </c>
      <c r="I8" s="1">
        <v>121</v>
      </c>
      <c r="J8" s="1">
        <v>94</v>
      </c>
      <c r="K8" s="1">
        <v>99</v>
      </c>
      <c r="L8" s="1">
        <v>4</v>
      </c>
      <c r="M8" s="1"/>
      <c r="N8" s="1"/>
      <c r="O8" s="2">
        <f t="shared" si="2"/>
        <v>895</v>
      </c>
      <c r="P8" s="51"/>
      <c r="Q8" s="20">
        <f t="shared" si="3"/>
        <v>99</v>
      </c>
      <c r="R8" s="20">
        <f t="shared" si="4"/>
        <v>109.89</v>
      </c>
      <c r="S8" s="34">
        <f>+VLOOKUP(A8,'INVENTARIO ACTUAL'!$A$2:$E$42,5,FALSE)</f>
        <v>15</v>
      </c>
      <c r="T8" s="20">
        <f t="shared" si="5"/>
        <v>27.4725</v>
      </c>
      <c r="U8" s="20">
        <f t="shared" si="6"/>
        <v>-12.4725</v>
      </c>
      <c r="V8" s="20">
        <f t="shared" si="7"/>
        <v>-4989</v>
      </c>
      <c r="W8" s="46"/>
      <c r="X8" s="21">
        <f t="shared" si="0"/>
        <v>5.4945000000000004</v>
      </c>
      <c r="Y8" s="21">
        <v>400</v>
      </c>
      <c r="Z8" s="22">
        <f t="shared" si="1"/>
        <v>43956</v>
      </c>
      <c r="AA8" s="22">
        <f t="shared" si="8"/>
        <v>2197.8000000000002</v>
      </c>
      <c r="AB8">
        <v>1.9E-2</v>
      </c>
      <c r="AC8" s="21">
        <f t="shared" si="9"/>
        <v>41.758200000000002</v>
      </c>
      <c r="AE8" s="20">
        <f t="shared" si="10"/>
        <v>-94.790999999999997</v>
      </c>
    </row>
    <row r="9" spans="1:31" x14ac:dyDescent="0.2">
      <c r="A9" t="s">
        <v>34</v>
      </c>
      <c r="B9" t="s">
        <v>35</v>
      </c>
      <c r="C9" s="1">
        <v>155</v>
      </c>
      <c r="D9" s="1">
        <v>128</v>
      </c>
      <c r="E9" s="1">
        <v>80</v>
      </c>
      <c r="F9" s="1">
        <v>133</v>
      </c>
      <c r="G9" s="1">
        <v>224</v>
      </c>
      <c r="H9" s="1">
        <v>141</v>
      </c>
      <c r="I9" s="1">
        <v>160</v>
      </c>
      <c r="J9" s="1">
        <v>157</v>
      </c>
      <c r="K9" s="1">
        <v>160</v>
      </c>
      <c r="L9" s="1">
        <v>17</v>
      </c>
      <c r="M9" s="1"/>
      <c r="N9" s="1"/>
      <c r="O9" s="2">
        <f t="shared" si="2"/>
        <v>1355</v>
      </c>
      <c r="P9" s="51"/>
      <c r="Q9" s="20">
        <f t="shared" si="3"/>
        <v>148.66666666666666</v>
      </c>
      <c r="R9" s="20">
        <f t="shared" si="4"/>
        <v>165.01999999999998</v>
      </c>
      <c r="S9" s="34">
        <f>+VLOOKUP(A9,'INVENTARIO ACTUAL'!$A$2:$E$42,5,FALSE)</f>
        <v>55</v>
      </c>
      <c r="T9" s="20">
        <f t="shared" si="5"/>
        <v>41.254999999999995</v>
      </c>
      <c r="U9" s="20">
        <f t="shared" si="6"/>
        <v>13.745000000000005</v>
      </c>
      <c r="V9" s="20">
        <f t="shared" si="7"/>
        <v>5498.0000000000018</v>
      </c>
      <c r="W9" s="46"/>
      <c r="X9" s="21">
        <f t="shared" si="0"/>
        <v>8.2509999999999994</v>
      </c>
      <c r="Y9" s="21">
        <v>400</v>
      </c>
      <c r="Z9" s="22">
        <f t="shared" si="1"/>
        <v>66008</v>
      </c>
      <c r="AA9" s="22">
        <f t="shared" si="8"/>
        <v>3300.4</v>
      </c>
      <c r="AB9">
        <v>1.9E-2</v>
      </c>
      <c r="AC9" s="21">
        <f t="shared" si="9"/>
        <v>62.707599999999999</v>
      </c>
      <c r="AE9" s="20">
        <f t="shared" si="10"/>
        <v>0</v>
      </c>
    </row>
    <row r="10" spans="1:31" x14ac:dyDescent="0.2">
      <c r="A10" t="s">
        <v>92</v>
      </c>
      <c r="B10" t="s">
        <v>93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/>
      <c r="M10" s="1"/>
      <c r="N10" s="1"/>
      <c r="O10" s="2">
        <f t="shared" si="2"/>
        <v>0</v>
      </c>
      <c r="P10" s="51"/>
      <c r="Q10" s="20">
        <f t="shared" si="3"/>
        <v>0</v>
      </c>
      <c r="R10" s="20">
        <f t="shared" si="4"/>
        <v>0</v>
      </c>
      <c r="S10" s="34"/>
      <c r="T10" s="20">
        <f t="shared" si="5"/>
        <v>0</v>
      </c>
      <c r="U10" s="20">
        <f t="shared" si="6"/>
        <v>0</v>
      </c>
      <c r="V10" s="20">
        <f t="shared" si="7"/>
        <v>0</v>
      </c>
      <c r="W10" s="46"/>
      <c r="X10" s="21">
        <f t="shared" si="0"/>
        <v>0</v>
      </c>
      <c r="Y10" s="21">
        <v>400</v>
      </c>
      <c r="Z10" s="22">
        <f t="shared" si="1"/>
        <v>0</v>
      </c>
      <c r="AA10" s="22">
        <f t="shared" si="8"/>
        <v>0</v>
      </c>
      <c r="AC10" s="21">
        <f t="shared" si="9"/>
        <v>0</v>
      </c>
      <c r="AE10" s="20">
        <f t="shared" si="10"/>
        <v>0</v>
      </c>
    </row>
    <row r="11" spans="1:31" x14ac:dyDescent="0.2">
      <c r="A11" t="s">
        <v>36</v>
      </c>
      <c r="B11" t="s">
        <v>37</v>
      </c>
      <c r="C11" s="1">
        <v>1493.5</v>
      </c>
      <c r="D11" s="1">
        <v>965</v>
      </c>
      <c r="E11" s="1">
        <v>944.5</v>
      </c>
      <c r="F11" s="1">
        <v>1022</v>
      </c>
      <c r="G11" s="1">
        <v>1321</v>
      </c>
      <c r="H11" s="1">
        <v>1067</v>
      </c>
      <c r="I11" s="1">
        <v>1015.5</v>
      </c>
      <c r="J11" s="1">
        <v>1277</v>
      </c>
      <c r="K11" s="1">
        <v>1254</v>
      </c>
      <c r="L11" s="1">
        <v>134</v>
      </c>
      <c r="M11" s="1"/>
      <c r="N11" s="1"/>
      <c r="O11" s="2">
        <f t="shared" si="2"/>
        <v>10493.5</v>
      </c>
      <c r="P11" s="51"/>
      <c r="Q11" s="20">
        <f t="shared" si="3"/>
        <v>1151.0555555555557</v>
      </c>
      <c r="R11" s="20">
        <f t="shared" si="4"/>
        <v>1277.6716666666669</v>
      </c>
      <c r="S11" s="34">
        <f>+VLOOKUP(A11,'INVENTARIO ACTUAL'!$A$2:$E$42,5,FALSE)</f>
        <v>234.5</v>
      </c>
      <c r="T11" s="20">
        <f t="shared" si="5"/>
        <v>319.41791666666671</v>
      </c>
      <c r="U11" s="20">
        <f t="shared" si="6"/>
        <v>-84.917916666666713</v>
      </c>
      <c r="V11" s="20">
        <f t="shared" si="7"/>
        <v>-33967.166666666686</v>
      </c>
      <c r="W11" s="46"/>
      <c r="X11" s="21">
        <f t="shared" si="0"/>
        <v>63.883583333333341</v>
      </c>
      <c r="Y11" s="21">
        <v>400</v>
      </c>
      <c r="Z11" s="22">
        <f t="shared" si="1"/>
        <v>511068.66666666674</v>
      </c>
      <c r="AA11" s="22">
        <f t="shared" si="8"/>
        <v>25553.433333333338</v>
      </c>
      <c r="AB11">
        <v>1.9E-2</v>
      </c>
      <c r="AC11" s="21">
        <f t="shared" si="9"/>
        <v>485.51523333333341</v>
      </c>
      <c r="AE11" s="20">
        <f t="shared" si="10"/>
        <v>-645.37616666666702</v>
      </c>
    </row>
    <row r="12" spans="1:31" x14ac:dyDescent="0.2">
      <c r="A12" t="s">
        <v>38</v>
      </c>
      <c r="B12" t="s">
        <v>39</v>
      </c>
      <c r="C12" s="1">
        <v>3672</v>
      </c>
      <c r="D12" s="1">
        <v>3007</v>
      </c>
      <c r="E12" s="1">
        <v>3486</v>
      </c>
      <c r="F12" s="1">
        <v>3042.5</v>
      </c>
      <c r="G12" s="1">
        <v>3182.5</v>
      </c>
      <c r="H12" s="1">
        <v>2785</v>
      </c>
      <c r="I12" s="1">
        <v>2958.5</v>
      </c>
      <c r="J12" s="1">
        <v>2587</v>
      </c>
      <c r="K12" s="1">
        <v>3053</v>
      </c>
      <c r="L12" s="1">
        <v>576.5</v>
      </c>
      <c r="M12" s="1"/>
      <c r="N12" s="1"/>
      <c r="O12" s="2">
        <f t="shared" si="2"/>
        <v>28350</v>
      </c>
      <c r="P12" s="51"/>
      <c r="Q12" s="20">
        <f t="shared" si="3"/>
        <v>3085.9444444444443</v>
      </c>
      <c r="R12" s="20">
        <f>+Q12*$R$47+Q12</f>
        <v>3425.3983333333331</v>
      </c>
      <c r="S12" s="34">
        <f>+VLOOKUP(A12,'INVENTARIO ACTUAL'!$A$2:$E$42,5,FALSE)</f>
        <v>1144</v>
      </c>
      <c r="T12" s="20">
        <f t="shared" si="5"/>
        <v>856.34958333333327</v>
      </c>
      <c r="U12" s="20">
        <f t="shared" si="6"/>
        <v>287.65041666666673</v>
      </c>
      <c r="V12" s="20">
        <f t="shared" si="7"/>
        <v>115060.16666666669</v>
      </c>
      <c r="W12" s="46"/>
      <c r="X12" s="21">
        <f t="shared" si="0"/>
        <v>171.26991666666666</v>
      </c>
      <c r="Y12" s="21">
        <v>400</v>
      </c>
      <c r="Z12" s="22">
        <f t="shared" si="1"/>
        <v>1370159.3333333333</v>
      </c>
      <c r="AA12" s="22">
        <f t="shared" si="8"/>
        <v>68507.96666666666</v>
      </c>
      <c r="AB12">
        <v>1.9E-2</v>
      </c>
      <c r="AC12" s="21">
        <f t="shared" si="9"/>
        <v>1301.6513666666665</v>
      </c>
      <c r="AE12" s="20">
        <f t="shared" si="10"/>
        <v>0</v>
      </c>
    </row>
    <row r="13" spans="1:31" x14ac:dyDescent="0.2">
      <c r="A13" t="s">
        <v>46</v>
      </c>
      <c r="B13" t="s">
        <v>47</v>
      </c>
      <c r="C13" s="1">
        <v>1866</v>
      </c>
      <c r="D13" s="1">
        <v>1140.5</v>
      </c>
      <c r="E13" s="1">
        <v>1069</v>
      </c>
      <c r="F13" s="1">
        <v>1226.5</v>
      </c>
      <c r="G13" s="1">
        <v>1562.5</v>
      </c>
      <c r="H13" s="1">
        <v>1574</v>
      </c>
      <c r="I13" s="1">
        <v>1639</v>
      </c>
      <c r="J13" s="1">
        <v>1741.5</v>
      </c>
      <c r="K13" s="1">
        <v>2214</v>
      </c>
      <c r="L13" s="1">
        <v>298</v>
      </c>
      <c r="M13" s="1"/>
      <c r="N13" s="1"/>
      <c r="O13" s="2">
        <f t="shared" si="2"/>
        <v>14331</v>
      </c>
      <c r="P13" s="51"/>
      <c r="Q13" s="20">
        <f t="shared" si="3"/>
        <v>1559.2222222222222</v>
      </c>
      <c r="R13" s="20">
        <f t="shared" si="4"/>
        <v>1730.7366666666667</v>
      </c>
      <c r="S13" s="34">
        <f>+VLOOKUP(A13,'INVENTARIO ACTUAL'!$A$2:$E$42,5,FALSE)</f>
        <v>142</v>
      </c>
      <c r="T13" s="20">
        <f t="shared" si="5"/>
        <v>432.68416666666667</v>
      </c>
      <c r="U13" s="20">
        <f t="shared" si="6"/>
        <v>-290.68416666666667</v>
      </c>
      <c r="V13" s="20">
        <f t="shared" si="7"/>
        <v>-116273.66666666667</v>
      </c>
      <c r="W13" s="46"/>
      <c r="X13" s="21">
        <f t="shared" si="0"/>
        <v>86.536833333333334</v>
      </c>
      <c r="Y13" s="21">
        <v>400</v>
      </c>
      <c r="Z13" s="22">
        <f t="shared" si="1"/>
        <v>692294.66666666663</v>
      </c>
      <c r="AA13" s="22">
        <f t="shared" si="8"/>
        <v>34614.73333333333</v>
      </c>
      <c r="AB13">
        <v>1.9E-2</v>
      </c>
      <c r="AC13" s="21">
        <f t="shared" si="9"/>
        <v>657.67993333333322</v>
      </c>
      <c r="AE13" s="20">
        <f t="shared" si="10"/>
        <v>-2209.1996666666669</v>
      </c>
    </row>
    <row r="14" spans="1:31" x14ac:dyDescent="0.2">
      <c r="A14" t="s">
        <v>48</v>
      </c>
      <c r="B14" t="s">
        <v>49</v>
      </c>
      <c r="C14" s="1">
        <v>2262</v>
      </c>
      <c r="D14" s="1">
        <v>1771.5</v>
      </c>
      <c r="E14" s="1">
        <v>2323</v>
      </c>
      <c r="F14" s="1">
        <v>2068</v>
      </c>
      <c r="G14" s="1">
        <v>2157.5</v>
      </c>
      <c r="H14" s="1">
        <v>1886.5</v>
      </c>
      <c r="I14" s="1">
        <v>1744.5</v>
      </c>
      <c r="J14" s="1">
        <v>1671</v>
      </c>
      <c r="K14" s="1">
        <v>2083</v>
      </c>
      <c r="L14" s="1">
        <v>262.5</v>
      </c>
      <c r="M14" s="1"/>
      <c r="N14" s="1"/>
      <c r="O14" s="2">
        <f t="shared" si="2"/>
        <v>18229.5</v>
      </c>
      <c r="P14" s="51"/>
      <c r="Q14" s="20">
        <f>+AVERAGE(C14:K14)</f>
        <v>1996.3333333333333</v>
      </c>
      <c r="R14" s="20">
        <f t="shared" si="4"/>
        <v>2215.9299999999998</v>
      </c>
      <c r="S14" s="34">
        <f>+VLOOKUP(A14,'INVENTARIO ACTUAL'!$A$2:$E$42,5,FALSE)</f>
        <v>173</v>
      </c>
      <c r="T14" s="20">
        <f t="shared" si="5"/>
        <v>553.98249999999996</v>
      </c>
      <c r="U14" s="20">
        <f t="shared" si="6"/>
        <v>-380.98249999999996</v>
      </c>
      <c r="V14" s="20">
        <f t="shared" si="7"/>
        <v>-152392.99999999997</v>
      </c>
      <c r="W14" s="46"/>
      <c r="X14" s="21">
        <f t="shared" si="0"/>
        <v>110.79649999999999</v>
      </c>
      <c r="Y14" s="21">
        <v>400</v>
      </c>
      <c r="Z14" s="22">
        <f t="shared" si="1"/>
        <v>886371.99999999988</v>
      </c>
      <c r="AA14" s="22">
        <f t="shared" si="8"/>
        <v>44318.599999999991</v>
      </c>
      <c r="AB14">
        <v>1.9E-2</v>
      </c>
      <c r="AC14" s="21">
        <f t="shared" si="9"/>
        <v>842.05339999999978</v>
      </c>
      <c r="AE14" s="20">
        <f t="shared" si="10"/>
        <v>-2895.4669999999992</v>
      </c>
    </row>
    <row r="15" spans="1:31" x14ac:dyDescent="0.2">
      <c r="A15" t="s">
        <v>106</v>
      </c>
      <c r="B15" t="s">
        <v>107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157</v>
      </c>
      <c r="M15" s="1"/>
      <c r="N15" s="1"/>
      <c r="O15" s="2">
        <f t="shared" si="2"/>
        <v>157</v>
      </c>
      <c r="P15" s="51"/>
      <c r="Q15" s="20">
        <f>+AVERAGE(K15)</f>
        <v>0</v>
      </c>
      <c r="R15" s="20">
        <f t="shared" si="4"/>
        <v>0</v>
      </c>
      <c r="S15" s="34">
        <f>+VLOOKUP(A15,'INVENTARIO ACTUAL'!$A$2:$E$42,5,FALSE)</f>
        <v>151</v>
      </c>
      <c r="T15" s="20">
        <f t="shared" si="5"/>
        <v>0</v>
      </c>
      <c r="U15" s="20">
        <f t="shared" si="6"/>
        <v>151</v>
      </c>
      <c r="V15" s="20">
        <f t="shared" si="7"/>
        <v>66440</v>
      </c>
      <c r="W15" s="46"/>
      <c r="X15" s="21">
        <f t="shared" si="0"/>
        <v>0</v>
      </c>
      <c r="Y15" s="21">
        <v>440</v>
      </c>
      <c r="Z15" s="22">
        <f t="shared" si="1"/>
        <v>0</v>
      </c>
      <c r="AA15" s="22">
        <f t="shared" si="8"/>
        <v>0</v>
      </c>
      <c r="AC15" s="21">
        <f t="shared" si="9"/>
        <v>0</v>
      </c>
      <c r="AE15" s="20">
        <f t="shared" si="10"/>
        <v>0</v>
      </c>
    </row>
    <row r="16" spans="1:31" x14ac:dyDescent="0.2">
      <c r="A16" t="s">
        <v>44</v>
      </c>
      <c r="B16" t="s">
        <v>45</v>
      </c>
      <c r="C16" s="1">
        <v>13</v>
      </c>
      <c r="D16" s="1">
        <v>9</v>
      </c>
      <c r="E16" s="1">
        <v>9</v>
      </c>
      <c r="F16" s="1">
        <v>6</v>
      </c>
      <c r="G16" s="1">
        <v>6</v>
      </c>
      <c r="H16" s="1">
        <v>8</v>
      </c>
      <c r="I16" s="1">
        <v>19</v>
      </c>
      <c r="J16" s="1">
        <v>19</v>
      </c>
      <c r="K16" s="1">
        <v>16</v>
      </c>
      <c r="L16" s="1">
        <v>0</v>
      </c>
      <c r="M16" s="1"/>
      <c r="N16" s="1"/>
      <c r="O16" s="2">
        <f t="shared" si="2"/>
        <v>105</v>
      </c>
      <c r="P16" s="51"/>
      <c r="Q16" s="20">
        <f t="shared" si="3"/>
        <v>11.666666666666666</v>
      </c>
      <c r="R16" s="20">
        <f t="shared" si="4"/>
        <v>12.95</v>
      </c>
      <c r="S16" s="34">
        <f>+VLOOKUP(A16,'INVENTARIO ACTUAL'!$A$2:$E$42,5,FALSE)</f>
        <v>16</v>
      </c>
      <c r="T16" s="20">
        <f t="shared" si="5"/>
        <v>3.2374999999999998</v>
      </c>
      <c r="U16" s="20">
        <f t="shared" si="6"/>
        <v>12.762499999999999</v>
      </c>
      <c r="V16" s="20">
        <f t="shared" si="7"/>
        <v>5105</v>
      </c>
      <c r="W16" s="46"/>
      <c r="X16" s="21">
        <f t="shared" si="0"/>
        <v>0.64749999999999996</v>
      </c>
      <c r="Y16" s="21">
        <v>400</v>
      </c>
      <c r="Z16" s="22">
        <f t="shared" si="1"/>
        <v>5180</v>
      </c>
      <c r="AA16" s="22">
        <f t="shared" si="8"/>
        <v>259</v>
      </c>
      <c r="AB16">
        <v>1.9E-2</v>
      </c>
      <c r="AC16" s="21">
        <f t="shared" si="9"/>
        <v>4.9210000000000003</v>
      </c>
      <c r="AE16" s="20">
        <f t="shared" si="10"/>
        <v>0</v>
      </c>
    </row>
    <row r="17" spans="1:31" x14ac:dyDescent="0.2">
      <c r="A17" t="s">
        <v>54</v>
      </c>
      <c r="B17" t="s">
        <v>55</v>
      </c>
      <c r="C17" s="1">
        <v>12</v>
      </c>
      <c r="D17" s="1">
        <v>5</v>
      </c>
      <c r="E17" s="1">
        <v>9</v>
      </c>
      <c r="F17" s="1">
        <v>4</v>
      </c>
      <c r="G17" s="1">
        <v>7</v>
      </c>
      <c r="H17" s="1">
        <v>6</v>
      </c>
      <c r="I17" s="1">
        <v>4</v>
      </c>
      <c r="J17" s="1">
        <v>9</v>
      </c>
      <c r="K17" s="1">
        <v>3</v>
      </c>
      <c r="L17" s="1">
        <v>0</v>
      </c>
      <c r="M17" s="1"/>
      <c r="N17" s="1"/>
      <c r="O17" s="2">
        <f t="shared" si="2"/>
        <v>59</v>
      </c>
      <c r="P17" s="51"/>
      <c r="Q17" s="20">
        <f t="shared" si="3"/>
        <v>6.5555555555555554</v>
      </c>
      <c r="R17" s="20">
        <f t="shared" si="4"/>
        <v>7.2766666666666664</v>
      </c>
      <c r="S17" s="34">
        <f>+VLOOKUP(A17,'INVENTARIO ACTUAL'!$A$2:$E$42,5,FALSE)</f>
        <v>4</v>
      </c>
      <c r="T17" s="20">
        <f t="shared" si="5"/>
        <v>1.8191666666666666</v>
      </c>
      <c r="U17" s="20">
        <f t="shared" si="6"/>
        <v>2.1808333333333332</v>
      </c>
      <c r="V17" s="20">
        <f t="shared" si="7"/>
        <v>872.33333333333326</v>
      </c>
      <c r="W17" s="46"/>
      <c r="X17" s="21">
        <f t="shared" si="0"/>
        <v>0.36383333333333334</v>
      </c>
      <c r="Y17" s="21">
        <v>400</v>
      </c>
      <c r="Z17" s="22">
        <f t="shared" si="1"/>
        <v>2910.6666666666665</v>
      </c>
      <c r="AA17" s="22">
        <f t="shared" si="8"/>
        <v>145.53333333333333</v>
      </c>
      <c r="AB17">
        <v>1.9E-2</v>
      </c>
      <c r="AC17" s="21">
        <f t="shared" si="9"/>
        <v>2.7651333333333334</v>
      </c>
      <c r="AE17" s="20">
        <f t="shared" si="10"/>
        <v>0</v>
      </c>
    </row>
    <row r="18" spans="1:31" x14ac:dyDescent="0.2">
      <c r="A18" t="s">
        <v>56</v>
      </c>
      <c r="B18" t="s">
        <v>57</v>
      </c>
      <c r="C18" s="1">
        <v>1289.5</v>
      </c>
      <c r="D18" s="1">
        <v>795</v>
      </c>
      <c r="E18" s="1">
        <v>909.5</v>
      </c>
      <c r="F18" s="1">
        <v>721</v>
      </c>
      <c r="G18" s="1">
        <v>1150</v>
      </c>
      <c r="H18" s="1">
        <v>1025.5</v>
      </c>
      <c r="I18" s="1">
        <v>1102</v>
      </c>
      <c r="J18" s="1">
        <v>1077.5</v>
      </c>
      <c r="K18" s="1">
        <v>1123.5</v>
      </c>
      <c r="L18" s="1">
        <v>176</v>
      </c>
      <c r="M18" s="1"/>
      <c r="N18" s="1"/>
      <c r="O18" s="2">
        <f t="shared" si="2"/>
        <v>9369.5</v>
      </c>
      <c r="P18" s="51"/>
      <c r="Q18" s="20">
        <f t="shared" si="3"/>
        <v>1021.5</v>
      </c>
      <c r="R18" s="20">
        <f t="shared" si="4"/>
        <v>1133.865</v>
      </c>
      <c r="S18" s="34">
        <f>+VLOOKUP(A18,'INVENTARIO ACTUAL'!$A$2:$E$42,5,FALSE)</f>
        <v>370.5</v>
      </c>
      <c r="T18" s="20">
        <f t="shared" si="5"/>
        <v>283.46625</v>
      </c>
      <c r="U18" s="20">
        <f t="shared" si="6"/>
        <v>87.033749999999998</v>
      </c>
      <c r="V18" s="20">
        <f t="shared" si="7"/>
        <v>34813.5</v>
      </c>
      <c r="W18" s="46"/>
      <c r="X18" s="21">
        <f t="shared" si="0"/>
        <v>56.693249999999999</v>
      </c>
      <c r="Y18" s="21">
        <v>400</v>
      </c>
      <c r="Z18" s="22">
        <f t="shared" si="1"/>
        <v>453546</v>
      </c>
      <c r="AA18" s="22">
        <f t="shared" si="8"/>
        <v>22677.3</v>
      </c>
      <c r="AB18">
        <v>1.9E-2</v>
      </c>
      <c r="AC18" s="21">
        <f t="shared" si="9"/>
        <v>430.86869999999999</v>
      </c>
      <c r="AE18" s="20">
        <f t="shared" si="10"/>
        <v>0</v>
      </c>
    </row>
    <row r="19" spans="1:31" x14ac:dyDescent="0.2">
      <c r="A19" t="s">
        <v>58</v>
      </c>
      <c r="B19" t="s">
        <v>59</v>
      </c>
      <c r="C19" s="1">
        <v>930</v>
      </c>
      <c r="D19" s="1">
        <v>697</v>
      </c>
      <c r="E19" s="1">
        <v>683</v>
      </c>
      <c r="F19" s="1">
        <v>677</v>
      </c>
      <c r="G19" s="1">
        <v>732.5</v>
      </c>
      <c r="H19" s="1">
        <v>649.5</v>
      </c>
      <c r="I19" s="1">
        <v>642.5</v>
      </c>
      <c r="J19" s="1">
        <v>646</v>
      </c>
      <c r="K19" s="1">
        <v>645.5</v>
      </c>
      <c r="L19" s="1">
        <v>125</v>
      </c>
      <c r="M19" s="1"/>
      <c r="N19" s="1"/>
      <c r="O19" s="2">
        <f t="shared" si="2"/>
        <v>6428</v>
      </c>
      <c r="P19" s="51"/>
      <c r="Q19" s="20">
        <f t="shared" si="3"/>
        <v>700.33333333333337</v>
      </c>
      <c r="R19" s="20">
        <f t="shared" si="4"/>
        <v>777.37</v>
      </c>
      <c r="S19" s="34">
        <f>+VLOOKUP(A19,'INVENTARIO ACTUAL'!$A$2:$E$42,5,FALSE)</f>
        <v>370</v>
      </c>
      <c r="T19" s="20">
        <f t="shared" si="5"/>
        <v>194.3425</v>
      </c>
      <c r="U19" s="20">
        <f t="shared" si="6"/>
        <v>175.6575</v>
      </c>
      <c r="V19" s="20">
        <f t="shared" si="7"/>
        <v>70263</v>
      </c>
      <c r="W19" s="46"/>
      <c r="X19" s="21">
        <f t="shared" si="0"/>
        <v>38.868499999999997</v>
      </c>
      <c r="Y19" s="21">
        <v>400</v>
      </c>
      <c r="Z19" s="22">
        <f t="shared" si="1"/>
        <v>310948</v>
      </c>
      <c r="AA19" s="22">
        <f t="shared" si="8"/>
        <v>15547.4</v>
      </c>
      <c r="AB19">
        <v>1.9E-2</v>
      </c>
      <c r="AC19" s="21">
        <f t="shared" si="9"/>
        <v>295.4006</v>
      </c>
      <c r="AE19" s="20">
        <f t="shared" si="10"/>
        <v>0</v>
      </c>
    </row>
    <row r="20" spans="1:31" x14ac:dyDescent="0.2">
      <c r="A20" t="s">
        <v>60</v>
      </c>
      <c r="B20" t="s">
        <v>61</v>
      </c>
      <c r="C20" s="1">
        <v>547</v>
      </c>
      <c r="D20" s="1">
        <v>425.5</v>
      </c>
      <c r="E20" s="1">
        <v>363</v>
      </c>
      <c r="F20" s="1">
        <v>390</v>
      </c>
      <c r="G20" s="1">
        <v>587.5</v>
      </c>
      <c r="H20" s="1">
        <v>537.5</v>
      </c>
      <c r="I20" s="1">
        <v>644.5</v>
      </c>
      <c r="J20" s="1">
        <v>734.5</v>
      </c>
      <c r="K20" s="1">
        <v>618</v>
      </c>
      <c r="L20" s="1">
        <v>80</v>
      </c>
      <c r="M20" s="1"/>
      <c r="N20" s="1"/>
      <c r="O20" s="2">
        <f t="shared" si="2"/>
        <v>4927.5</v>
      </c>
      <c r="P20" s="51"/>
      <c r="Q20" s="20">
        <f t="shared" si="3"/>
        <v>538.61111111111109</v>
      </c>
      <c r="R20" s="20">
        <f t="shared" si="4"/>
        <v>597.85833333333335</v>
      </c>
      <c r="S20" s="34">
        <f>+VLOOKUP(A20,'INVENTARIO ACTUAL'!$A$2:$E$42,5,FALSE)</f>
        <v>205.5</v>
      </c>
      <c r="T20" s="20">
        <f t="shared" si="5"/>
        <v>149.46458333333334</v>
      </c>
      <c r="U20" s="20">
        <f t="shared" si="6"/>
        <v>56.035416666666663</v>
      </c>
      <c r="V20" s="20">
        <f t="shared" si="7"/>
        <v>22414.166666666664</v>
      </c>
      <c r="W20" s="46"/>
      <c r="X20" s="21">
        <f t="shared" si="0"/>
        <v>29.892916666666668</v>
      </c>
      <c r="Y20" s="21">
        <v>400</v>
      </c>
      <c r="Z20" s="22">
        <f t="shared" si="1"/>
        <v>239143.33333333334</v>
      </c>
      <c r="AA20" s="22">
        <f t="shared" si="8"/>
        <v>11957.166666666668</v>
      </c>
      <c r="AB20">
        <v>1.9E-2</v>
      </c>
      <c r="AC20" s="21">
        <f t="shared" si="9"/>
        <v>227.18616666666668</v>
      </c>
      <c r="AE20" s="20">
        <f t="shared" si="10"/>
        <v>0</v>
      </c>
    </row>
    <row r="21" spans="1:31" x14ac:dyDescent="0.2">
      <c r="A21" t="s">
        <v>62</v>
      </c>
      <c r="B21" t="s">
        <v>63</v>
      </c>
      <c r="C21" s="1">
        <v>541.5</v>
      </c>
      <c r="D21" s="1">
        <v>469</v>
      </c>
      <c r="E21" s="1">
        <v>518</v>
      </c>
      <c r="F21" s="1">
        <v>521.5</v>
      </c>
      <c r="G21" s="1">
        <v>541</v>
      </c>
      <c r="H21" s="1">
        <v>533</v>
      </c>
      <c r="I21" s="1">
        <v>435.5</v>
      </c>
      <c r="J21" s="1">
        <v>442</v>
      </c>
      <c r="K21" s="1">
        <v>466.5</v>
      </c>
      <c r="L21" s="1">
        <v>89</v>
      </c>
      <c r="M21" s="1"/>
      <c r="N21" s="1"/>
      <c r="O21" s="2">
        <f t="shared" si="2"/>
        <v>4557</v>
      </c>
      <c r="P21" s="51"/>
      <c r="Q21" s="20">
        <f>+AVERAGE(C21:K21)</f>
        <v>496.44444444444446</v>
      </c>
      <c r="R21" s="20">
        <f>+Q21*$R$47+Q21</f>
        <v>551.05333333333328</v>
      </c>
      <c r="S21" s="34">
        <f>+VLOOKUP(A21,'INVENTARIO ACTUAL'!$A$2:$E$42,5,FALSE)</f>
        <v>182</v>
      </c>
      <c r="T21" s="20">
        <f t="shared" si="5"/>
        <v>137.76333333333332</v>
      </c>
      <c r="U21" s="20">
        <f t="shared" si="6"/>
        <v>44.236666666666679</v>
      </c>
      <c r="V21" s="20">
        <f t="shared" si="7"/>
        <v>17694.666666666672</v>
      </c>
      <c r="W21" s="46"/>
      <c r="X21" s="21">
        <f t="shared" si="0"/>
        <v>27.552666666666664</v>
      </c>
      <c r="Y21" s="21">
        <v>400</v>
      </c>
      <c r="Z21" s="22">
        <f t="shared" si="1"/>
        <v>220421.33333333331</v>
      </c>
      <c r="AA21" s="22">
        <f t="shared" si="8"/>
        <v>11021.066666666666</v>
      </c>
      <c r="AB21">
        <v>1.9E-2</v>
      </c>
      <c r="AC21" s="21">
        <f t="shared" si="9"/>
        <v>209.40026666666665</v>
      </c>
      <c r="AE21" s="20">
        <f t="shared" si="10"/>
        <v>0</v>
      </c>
    </row>
    <row r="22" spans="1:31" x14ac:dyDescent="0.2">
      <c r="A22" s="16"/>
      <c r="B22" s="1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>
        <f t="shared" si="2"/>
        <v>0</v>
      </c>
      <c r="P22" s="51"/>
      <c r="Q22" s="20"/>
      <c r="R22" s="20"/>
      <c r="S22" s="34"/>
      <c r="T22" s="20">
        <f t="shared" si="5"/>
        <v>0</v>
      </c>
      <c r="U22" s="20">
        <f t="shared" si="6"/>
        <v>0</v>
      </c>
      <c r="V22" s="20">
        <f t="shared" si="7"/>
        <v>0</v>
      </c>
      <c r="W22" s="46"/>
      <c r="X22" s="21"/>
      <c r="Y22" s="21"/>
      <c r="AA22" s="22">
        <f t="shared" si="8"/>
        <v>0</v>
      </c>
      <c r="AC22" s="21">
        <f t="shared" si="9"/>
        <v>0</v>
      </c>
      <c r="AE22" s="20">
        <f t="shared" si="10"/>
        <v>0</v>
      </c>
    </row>
    <row r="23" spans="1:31" x14ac:dyDescent="0.2">
      <c r="A23" t="s">
        <v>14</v>
      </c>
      <c r="B23" t="s">
        <v>15</v>
      </c>
      <c r="C23" s="1">
        <v>475</v>
      </c>
      <c r="D23" s="1">
        <v>403</v>
      </c>
      <c r="E23" s="1">
        <v>516</v>
      </c>
      <c r="F23" s="1">
        <v>489</v>
      </c>
      <c r="G23" s="1">
        <v>418</v>
      </c>
      <c r="H23" s="1">
        <v>434</v>
      </c>
      <c r="I23" s="1">
        <v>493</v>
      </c>
      <c r="J23" s="1">
        <v>547</v>
      </c>
      <c r="K23" s="1">
        <v>502</v>
      </c>
      <c r="L23" s="1">
        <v>105</v>
      </c>
      <c r="M23" s="1"/>
      <c r="N23" s="1"/>
      <c r="O23" s="2">
        <f t="shared" si="2"/>
        <v>4382</v>
      </c>
      <c r="P23" s="51"/>
      <c r="Q23" s="20">
        <f t="shared" ref="Q23:Q33" si="11">+AVERAGE(C23:K23)</f>
        <v>475.22222222222223</v>
      </c>
      <c r="R23" s="20">
        <f t="shared" ref="R23:R35" si="12">+Q23*$R$47+Q23</f>
        <v>527.49666666666667</v>
      </c>
      <c r="S23" s="34">
        <f>+VLOOKUP(A23,'INVENTARIO ACTUAL'!$A$2:$E$42,5,FALSE)</f>
        <v>54</v>
      </c>
      <c r="T23" s="20">
        <f t="shared" si="5"/>
        <v>131.87416666666667</v>
      </c>
      <c r="U23" s="20">
        <f t="shared" si="6"/>
        <v>-77.874166666666667</v>
      </c>
      <c r="V23" s="20">
        <f t="shared" si="7"/>
        <v>-2803.4700000000003</v>
      </c>
      <c r="W23" s="46"/>
      <c r="X23" s="21">
        <f t="shared" ref="X23:X35" si="13">+R23/20</f>
        <v>26.374833333333335</v>
      </c>
      <c r="Y23" s="21">
        <v>36</v>
      </c>
      <c r="Z23" s="22">
        <f t="shared" ref="Z23:Z35" si="14">+R23*Y23</f>
        <v>18989.88</v>
      </c>
      <c r="AA23" s="22">
        <f t="shared" si="8"/>
        <v>949.49400000000003</v>
      </c>
      <c r="AB23">
        <v>0.12</v>
      </c>
      <c r="AC23" s="21">
        <f t="shared" si="9"/>
        <v>113.93928</v>
      </c>
      <c r="AE23" s="20">
        <f t="shared" si="10"/>
        <v>-336.41640000000001</v>
      </c>
    </row>
    <row r="24" spans="1:31" x14ac:dyDescent="0.2">
      <c r="A24" t="s">
        <v>16</v>
      </c>
      <c r="B24" t="s">
        <v>17</v>
      </c>
      <c r="C24" s="1">
        <v>877</v>
      </c>
      <c r="D24" s="1">
        <v>666</v>
      </c>
      <c r="E24" s="1">
        <v>808</v>
      </c>
      <c r="F24" s="1">
        <v>799</v>
      </c>
      <c r="G24" s="1">
        <v>996</v>
      </c>
      <c r="H24" s="1">
        <v>743</v>
      </c>
      <c r="I24" s="1">
        <v>964</v>
      </c>
      <c r="J24" s="1">
        <v>754</v>
      </c>
      <c r="K24" s="1">
        <v>860</v>
      </c>
      <c r="L24" s="1">
        <v>291</v>
      </c>
      <c r="M24" s="1"/>
      <c r="N24" s="1"/>
      <c r="O24" s="2">
        <f t="shared" si="2"/>
        <v>7758</v>
      </c>
      <c r="P24" s="51"/>
      <c r="Q24" s="20">
        <f t="shared" si="11"/>
        <v>829.66666666666663</v>
      </c>
      <c r="R24" s="20">
        <f t="shared" si="12"/>
        <v>920.93</v>
      </c>
      <c r="S24" s="34">
        <f>+VLOOKUP(A24,'INVENTARIO ACTUAL'!$A$2:$E$42,5,FALSE)</f>
        <v>12</v>
      </c>
      <c r="T24" s="20">
        <f t="shared" si="5"/>
        <v>230.23249999999999</v>
      </c>
      <c r="U24" s="20">
        <f t="shared" si="6"/>
        <v>-218.23249999999999</v>
      </c>
      <c r="V24" s="20">
        <f t="shared" si="7"/>
        <v>-7856.37</v>
      </c>
      <c r="W24" s="46"/>
      <c r="X24" s="21">
        <f t="shared" si="13"/>
        <v>46.046499999999995</v>
      </c>
      <c r="Y24" s="21">
        <v>36</v>
      </c>
      <c r="Z24" s="22">
        <f t="shared" si="14"/>
        <v>33153.479999999996</v>
      </c>
      <c r="AA24" s="22">
        <f t="shared" si="8"/>
        <v>1657.6739999999998</v>
      </c>
      <c r="AB24">
        <v>0.12</v>
      </c>
      <c r="AC24" s="21">
        <f t="shared" si="9"/>
        <v>198.92087999999995</v>
      </c>
      <c r="AE24" s="20">
        <f t="shared" si="10"/>
        <v>-942.76439999999991</v>
      </c>
    </row>
    <row r="25" spans="1:31" x14ac:dyDescent="0.2">
      <c r="A25" t="s">
        <v>22</v>
      </c>
      <c r="B25" t="s">
        <v>23</v>
      </c>
      <c r="C25" s="1">
        <v>74</v>
      </c>
      <c r="D25" s="1">
        <v>83</v>
      </c>
      <c r="E25" s="1">
        <v>96</v>
      </c>
      <c r="F25" s="1">
        <v>93</v>
      </c>
      <c r="G25" s="1">
        <v>71</v>
      </c>
      <c r="H25" s="1">
        <v>90</v>
      </c>
      <c r="I25" s="1">
        <v>101</v>
      </c>
      <c r="J25" s="1">
        <v>94</v>
      </c>
      <c r="K25" s="1">
        <v>108</v>
      </c>
      <c r="L25" s="1">
        <v>10</v>
      </c>
      <c r="M25" s="1"/>
      <c r="N25" s="1"/>
      <c r="O25" s="2">
        <f t="shared" si="2"/>
        <v>820</v>
      </c>
      <c r="P25" s="51"/>
      <c r="Q25" s="20">
        <f t="shared" si="11"/>
        <v>90</v>
      </c>
      <c r="R25" s="20">
        <f t="shared" si="12"/>
        <v>99.9</v>
      </c>
      <c r="S25" s="34">
        <f>+VLOOKUP(A25,'INVENTARIO ACTUAL'!$A$2:$E$42,5,FALSE)</f>
        <v>37</v>
      </c>
      <c r="T25" s="20">
        <f t="shared" si="5"/>
        <v>24.975000000000001</v>
      </c>
      <c r="U25" s="20">
        <f t="shared" si="6"/>
        <v>12.024999999999999</v>
      </c>
      <c r="V25" s="20">
        <f t="shared" si="7"/>
        <v>432.9</v>
      </c>
      <c r="W25" s="46"/>
      <c r="X25" s="21">
        <f t="shared" si="13"/>
        <v>4.9950000000000001</v>
      </c>
      <c r="Y25" s="21">
        <v>36</v>
      </c>
      <c r="Z25" s="22">
        <f t="shared" si="14"/>
        <v>3596.4</v>
      </c>
      <c r="AA25" s="22">
        <f t="shared" si="8"/>
        <v>179.82</v>
      </c>
      <c r="AB25">
        <v>0.12</v>
      </c>
      <c r="AC25" s="21">
        <f t="shared" si="9"/>
        <v>21.578399999999998</v>
      </c>
      <c r="AE25" s="20">
        <f t="shared" si="10"/>
        <v>0</v>
      </c>
    </row>
    <row r="26" spans="1:31" x14ac:dyDescent="0.2">
      <c r="A26" t="s">
        <v>24</v>
      </c>
      <c r="B26" t="s">
        <v>25</v>
      </c>
      <c r="C26" s="1">
        <v>41</v>
      </c>
      <c r="D26" s="1">
        <v>61</v>
      </c>
      <c r="E26" s="1">
        <v>91</v>
      </c>
      <c r="F26" s="1">
        <v>57</v>
      </c>
      <c r="G26" s="1">
        <v>13</v>
      </c>
      <c r="H26" s="1">
        <v>225</v>
      </c>
      <c r="I26" s="1">
        <v>12</v>
      </c>
      <c r="J26" s="1">
        <v>17</v>
      </c>
      <c r="K26" s="1">
        <v>11</v>
      </c>
      <c r="L26" s="1">
        <v>4</v>
      </c>
      <c r="M26" s="1"/>
      <c r="N26" s="1"/>
      <c r="O26" s="2">
        <f t="shared" si="2"/>
        <v>532</v>
      </c>
      <c r="P26" s="51"/>
      <c r="Q26" s="20">
        <f t="shared" si="11"/>
        <v>58.666666666666664</v>
      </c>
      <c r="R26" s="20">
        <f t="shared" si="12"/>
        <v>65.11999999999999</v>
      </c>
      <c r="S26" s="34">
        <f>+VLOOKUP(A26,'INVENTARIO ACTUAL'!$A$2:$E$42,5,FALSE)</f>
        <v>18</v>
      </c>
      <c r="T26" s="20">
        <f t="shared" si="5"/>
        <v>16.279999999999998</v>
      </c>
      <c r="U26" s="20">
        <f t="shared" si="6"/>
        <v>1.7200000000000024</v>
      </c>
      <c r="V26" s="20">
        <f t="shared" si="7"/>
        <v>61.920000000000087</v>
      </c>
      <c r="W26" s="46"/>
      <c r="X26" s="21">
        <f t="shared" si="13"/>
        <v>3.2559999999999993</v>
      </c>
      <c r="Y26" s="21">
        <v>36</v>
      </c>
      <c r="Z26" s="22">
        <f t="shared" si="14"/>
        <v>2344.3199999999997</v>
      </c>
      <c r="AA26" s="22">
        <f t="shared" si="8"/>
        <v>117.21599999999998</v>
      </c>
      <c r="AB26">
        <v>0.12</v>
      </c>
      <c r="AC26" s="21">
        <f t="shared" si="9"/>
        <v>14.065919999999997</v>
      </c>
      <c r="AE26" s="20">
        <f t="shared" si="10"/>
        <v>0</v>
      </c>
    </row>
    <row r="27" spans="1:31" x14ac:dyDescent="0.2">
      <c r="A27" t="s">
        <v>30</v>
      </c>
      <c r="B27" t="s">
        <v>31</v>
      </c>
      <c r="C27" s="1">
        <v>54</v>
      </c>
      <c r="D27" s="1">
        <v>29</v>
      </c>
      <c r="E27" s="1">
        <v>43</v>
      </c>
      <c r="F27" s="1">
        <v>37</v>
      </c>
      <c r="G27" s="1">
        <v>56</v>
      </c>
      <c r="H27" s="1">
        <v>24</v>
      </c>
      <c r="I27" s="1">
        <v>39</v>
      </c>
      <c r="J27" s="1">
        <v>41</v>
      </c>
      <c r="K27" s="1">
        <v>55</v>
      </c>
      <c r="L27" s="1">
        <v>2</v>
      </c>
      <c r="M27" s="1"/>
      <c r="N27" s="1"/>
      <c r="O27" s="2">
        <f t="shared" si="2"/>
        <v>380</v>
      </c>
      <c r="P27" s="51"/>
      <c r="Q27" s="20">
        <f t="shared" si="11"/>
        <v>42</v>
      </c>
      <c r="R27" s="20">
        <f>+Q27*$R$47+Q27</f>
        <v>46.62</v>
      </c>
      <c r="S27" s="34">
        <f>+VLOOKUP(A27,'INVENTARIO ACTUAL'!$A$2:$E$42,5,FALSE)</f>
        <v>51</v>
      </c>
      <c r="T27" s="20">
        <f t="shared" si="5"/>
        <v>11.654999999999999</v>
      </c>
      <c r="U27" s="20">
        <f t="shared" si="6"/>
        <v>39.344999999999999</v>
      </c>
      <c r="V27" s="20">
        <f t="shared" si="7"/>
        <v>1416.42</v>
      </c>
      <c r="W27" s="46"/>
      <c r="X27" s="21">
        <f t="shared" si="13"/>
        <v>2.331</v>
      </c>
      <c r="Y27" s="21">
        <v>36</v>
      </c>
      <c r="Z27" s="22">
        <f t="shared" si="14"/>
        <v>1678.32</v>
      </c>
      <c r="AA27" s="22">
        <f t="shared" si="8"/>
        <v>83.915999999999997</v>
      </c>
      <c r="AB27">
        <v>0.12</v>
      </c>
      <c r="AC27" s="21">
        <f t="shared" si="9"/>
        <v>10.06992</v>
      </c>
      <c r="AE27" s="20">
        <f t="shared" si="10"/>
        <v>0</v>
      </c>
    </row>
    <row r="28" spans="1:31" x14ac:dyDescent="0.2">
      <c r="A28" t="s">
        <v>32</v>
      </c>
      <c r="B28" t="s">
        <v>33</v>
      </c>
      <c r="C28" s="1">
        <v>46</v>
      </c>
      <c r="D28" s="1">
        <v>49</v>
      </c>
      <c r="E28" s="1">
        <v>51</v>
      </c>
      <c r="F28" s="1">
        <v>45</v>
      </c>
      <c r="G28" s="1">
        <v>39</v>
      </c>
      <c r="H28" s="1">
        <v>43</v>
      </c>
      <c r="I28" s="1">
        <v>46</v>
      </c>
      <c r="J28" s="1">
        <v>52</v>
      </c>
      <c r="K28" s="1">
        <v>32</v>
      </c>
      <c r="L28" s="1">
        <v>11</v>
      </c>
      <c r="M28" s="1"/>
      <c r="N28" s="1"/>
      <c r="O28" s="2">
        <f t="shared" si="2"/>
        <v>414</v>
      </c>
      <c r="P28" s="51"/>
      <c r="Q28" s="20">
        <f t="shared" si="11"/>
        <v>44.777777777777779</v>
      </c>
      <c r="R28" s="20">
        <f t="shared" si="12"/>
        <v>49.703333333333333</v>
      </c>
      <c r="S28" s="34">
        <f>+VLOOKUP(A28,'INVENTARIO ACTUAL'!$A$2:$E$42,5,FALSE)</f>
        <v>40</v>
      </c>
      <c r="T28" s="20">
        <f t="shared" si="5"/>
        <v>12.425833333333333</v>
      </c>
      <c r="U28" s="20">
        <f t="shared" si="6"/>
        <v>27.574166666666667</v>
      </c>
      <c r="V28" s="20">
        <f t="shared" si="7"/>
        <v>992.67</v>
      </c>
      <c r="W28" s="46"/>
      <c r="X28" s="21">
        <f t="shared" si="13"/>
        <v>2.4851666666666667</v>
      </c>
      <c r="Y28" s="21">
        <v>36</v>
      </c>
      <c r="Z28" s="22">
        <f t="shared" si="14"/>
        <v>1789.32</v>
      </c>
      <c r="AA28" s="22">
        <f t="shared" si="8"/>
        <v>89.465999999999994</v>
      </c>
      <c r="AB28">
        <v>0.12</v>
      </c>
      <c r="AC28" s="21">
        <f t="shared" si="9"/>
        <v>10.735919999999998</v>
      </c>
      <c r="AE28" s="20">
        <f t="shared" si="10"/>
        <v>0</v>
      </c>
    </row>
    <row r="29" spans="1:31" x14ac:dyDescent="0.2">
      <c r="A29" t="s">
        <v>40</v>
      </c>
      <c r="B29" t="s">
        <v>41</v>
      </c>
      <c r="C29" s="1">
        <v>710</v>
      </c>
      <c r="D29" s="1">
        <v>593</v>
      </c>
      <c r="E29" s="1">
        <v>684</v>
      </c>
      <c r="F29" s="1">
        <v>675</v>
      </c>
      <c r="G29" s="1">
        <v>591</v>
      </c>
      <c r="H29" s="1">
        <v>583</v>
      </c>
      <c r="I29" s="1">
        <v>663</v>
      </c>
      <c r="J29" s="1">
        <v>732</v>
      </c>
      <c r="K29" s="1">
        <v>641</v>
      </c>
      <c r="L29" s="1">
        <v>119</v>
      </c>
      <c r="M29" s="1"/>
      <c r="N29" s="1"/>
      <c r="O29" s="2">
        <f t="shared" si="2"/>
        <v>5991</v>
      </c>
      <c r="P29" s="51"/>
      <c r="Q29" s="20">
        <f t="shared" si="11"/>
        <v>652.44444444444446</v>
      </c>
      <c r="R29" s="20">
        <f t="shared" si="12"/>
        <v>724.21333333333337</v>
      </c>
      <c r="S29" s="34">
        <f>+VLOOKUP(A29,'INVENTARIO ACTUAL'!$A$2:$E$42,5,FALSE)</f>
        <v>10</v>
      </c>
      <c r="T29" s="20">
        <f t="shared" si="5"/>
        <v>181.05333333333334</v>
      </c>
      <c r="U29" s="20">
        <f t="shared" si="6"/>
        <v>-171.05333333333334</v>
      </c>
      <c r="V29" s="20">
        <f t="shared" si="7"/>
        <v>-6157.92</v>
      </c>
      <c r="W29" s="46"/>
      <c r="X29" s="21">
        <f t="shared" si="13"/>
        <v>36.210666666666668</v>
      </c>
      <c r="Y29" s="21">
        <v>36</v>
      </c>
      <c r="Z29" s="22">
        <f t="shared" si="14"/>
        <v>26071.68</v>
      </c>
      <c r="AA29" s="22">
        <f t="shared" si="8"/>
        <v>1303.5840000000001</v>
      </c>
      <c r="AB29">
        <v>0.12</v>
      </c>
      <c r="AC29" s="21">
        <f t="shared" si="9"/>
        <v>156.43008</v>
      </c>
      <c r="AE29" s="20">
        <f t="shared" si="10"/>
        <v>-738.95039999999995</v>
      </c>
    </row>
    <row r="30" spans="1:31" x14ac:dyDescent="0.2">
      <c r="A30" t="s">
        <v>42</v>
      </c>
      <c r="B30" t="s">
        <v>43</v>
      </c>
      <c r="C30" s="1">
        <v>1079</v>
      </c>
      <c r="D30" s="1">
        <v>362</v>
      </c>
      <c r="E30" s="1">
        <v>483</v>
      </c>
      <c r="F30" s="1">
        <v>586</v>
      </c>
      <c r="G30" s="1">
        <v>916</v>
      </c>
      <c r="H30" s="1">
        <v>404</v>
      </c>
      <c r="I30" s="1">
        <v>708</v>
      </c>
      <c r="J30" s="1">
        <v>605</v>
      </c>
      <c r="K30" s="1">
        <v>582</v>
      </c>
      <c r="L30" s="1">
        <v>209</v>
      </c>
      <c r="M30" s="1"/>
      <c r="N30" s="1"/>
      <c r="O30" s="2">
        <f t="shared" si="2"/>
        <v>5934</v>
      </c>
      <c r="P30" s="51"/>
      <c r="Q30" s="20">
        <f t="shared" si="11"/>
        <v>636.11111111111109</v>
      </c>
      <c r="R30" s="20">
        <f t="shared" si="12"/>
        <v>706.08333333333326</v>
      </c>
      <c r="S30" s="34">
        <f>+VLOOKUP(A30,'INVENTARIO ACTUAL'!$A$2:$E$42,5,FALSE)</f>
        <v>12</v>
      </c>
      <c r="T30" s="20">
        <f t="shared" si="5"/>
        <v>176.52083333333331</v>
      </c>
      <c r="U30" s="20">
        <f t="shared" si="6"/>
        <v>-164.52083333333331</v>
      </c>
      <c r="V30" s="20">
        <f t="shared" si="7"/>
        <v>-5922.7499999999991</v>
      </c>
      <c r="W30" s="46"/>
      <c r="X30" s="21">
        <f t="shared" si="13"/>
        <v>35.30416666666666</v>
      </c>
      <c r="Y30" s="21">
        <v>36</v>
      </c>
      <c r="Z30" s="22">
        <f t="shared" si="14"/>
        <v>25418.999999999996</v>
      </c>
      <c r="AA30" s="22">
        <f t="shared" si="8"/>
        <v>1270.9499999999998</v>
      </c>
      <c r="AB30">
        <v>0.12</v>
      </c>
      <c r="AC30" s="21">
        <f t="shared" si="9"/>
        <v>152.51399999999998</v>
      </c>
      <c r="AE30" s="20">
        <f t="shared" si="10"/>
        <v>-710.7299999999999</v>
      </c>
    </row>
    <row r="31" spans="1:31" x14ac:dyDescent="0.2">
      <c r="A31" t="s">
        <v>50</v>
      </c>
      <c r="B31" t="s">
        <v>51</v>
      </c>
      <c r="C31" s="1">
        <v>361</v>
      </c>
      <c r="D31" s="1">
        <v>266</v>
      </c>
      <c r="E31" s="1">
        <v>336</v>
      </c>
      <c r="F31" s="1">
        <v>314</v>
      </c>
      <c r="G31" s="1">
        <v>308</v>
      </c>
      <c r="H31" s="1">
        <v>350</v>
      </c>
      <c r="I31" s="1">
        <v>302</v>
      </c>
      <c r="J31" s="1">
        <v>359</v>
      </c>
      <c r="K31" s="1">
        <v>338</v>
      </c>
      <c r="L31" s="1">
        <v>69</v>
      </c>
      <c r="M31" s="1"/>
      <c r="N31" s="1"/>
      <c r="O31" s="2">
        <f t="shared" si="2"/>
        <v>3003</v>
      </c>
      <c r="P31" s="51"/>
      <c r="Q31" s="20">
        <f t="shared" si="11"/>
        <v>326</v>
      </c>
      <c r="R31" s="20">
        <f t="shared" si="12"/>
        <v>361.86</v>
      </c>
      <c r="S31" s="34">
        <f>+VLOOKUP(A31,'INVENTARIO ACTUAL'!$A$2:$E$42,5,FALSE)</f>
        <v>54</v>
      </c>
      <c r="T31" s="20">
        <f t="shared" si="5"/>
        <v>90.465000000000003</v>
      </c>
      <c r="U31" s="20">
        <f t="shared" si="6"/>
        <v>-36.465000000000003</v>
      </c>
      <c r="V31" s="20">
        <f t="shared" si="7"/>
        <v>-1312.7400000000002</v>
      </c>
      <c r="W31" s="46"/>
      <c r="X31" s="21">
        <f t="shared" si="13"/>
        <v>18.093</v>
      </c>
      <c r="Y31" s="21">
        <v>36</v>
      </c>
      <c r="Z31" s="22">
        <f t="shared" si="14"/>
        <v>13026.960000000001</v>
      </c>
      <c r="AA31" s="22">
        <f t="shared" si="8"/>
        <v>651.34800000000007</v>
      </c>
      <c r="AB31">
        <v>0.12</v>
      </c>
      <c r="AC31" s="21">
        <f t="shared" si="9"/>
        <v>78.161760000000001</v>
      </c>
      <c r="AE31" s="20">
        <f t="shared" si="10"/>
        <v>-157.52880000000002</v>
      </c>
    </row>
    <row r="32" spans="1:31" x14ac:dyDescent="0.2">
      <c r="A32" t="s">
        <v>52</v>
      </c>
      <c r="B32" t="s">
        <v>53</v>
      </c>
      <c r="C32" s="1">
        <v>135</v>
      </c>
      <c r="D32" s="1">
        <v>79</v>
      </c>
      <c r="E32" s="1">
        <v>166</v>
      </c>
      <c r="F32" s="1">
        <v>183</v>
      </c>
      <c r="G32" s="1">
        <v>296</v>
      </c>
      <c r="H32" s="1">
        <v>151</v>
      </c>
      <c r="I32" s="1">
        <v>352</v>
      </c>
      <c r="J32" s="1">
        <v>180</v>
      </c>
      <c r="K32" s="1">
        <v>103</v>
      </c>
      <c r="L32" s="1">
        <v>49</v>
      </c>
      <c r="M32" s="1"/>
      <c r="N32" s="1"/>
      <c r="O32" s="2">
        <f t="shared" si="2"/>
        <v>1694</v>
      </c>
      <c r="P32" s="51"/>
      <c r="Q32" s="20">
        <f t="shared" si="11"/>
        <v>182.77777777777777</v>
      </c>
      <c r="R32" s="20">
        <f t="shared" si="12"/>
        <v>202.88333333333333</v>
      </c>
      <c r="S32" s="34">
        <f>+VLOOKUP(A32,'INVENTARIO ACTUAL'!$A$2:$E$42,5,FALSE)</f>
        <v>57</v>
      </c>
      <c r="T32" s="20">
        <f t="shared" si="5"/>
        <v>50.720833333333331</v>
      </c>
      <c r="U32" s="20">
        <f t="shared" si="6"/>
        <v>6.2791666666666686</v>
      </c>
      <c r="V32" s="20">
        <f t="shared" si="7"/>
        <v>226.05000000000007</v>
      </c>
      <c r="W32" s="46"/>
      <c r="X32" s="21">
        <f t="shared" si="13"/>
        <v>10.144166666666667</v>
      </c>
      <c r="Y32" s="21">
        <v>36</v>
      </c>
      <c r="Z32" s="22">
        <f t="shared" si="14"/>
        <v>7303.7999999999993</v>
      </c>
      <c r="AA32" s="22">
        <f t="shared" si="8"/>
        <v>365.18999999999994</v>
      </c>
      <c r="AB32">
        <v>0.12</v>
      </c>
      <c r="AC32" s="21">
        <f t="shared" si="9"/>
        <v>43.822799999999994</v>
      </c>
      <c r="AE32" s="20">
        <f t="shared" si="10"/>
        <v>0</v>
      </c>
    </row>
    <row r="33" spans="1:31" x14ac:dyDescent="0.2">
      <c r="A33" t="s">
        <v>64</v>
      </c>
      <c r="B33" t="s">
        <v>65</v>
      </c>
      <c r="C33" s="1">
        <v>187</v>
      </c>
      <c r="D33" s="1">
        <v>159</v>
      </c>
      <c r="E33" s="1">
        <v>258</v>
      </c>
      <c r="F33" s="1">
        <v>210</v>
      </c>
      <c r="G33" s="1">
        <v>298</v>
      </c>
      <c r="H33" s="1">
        <v>208</v>
      </c>
      <c r="I33" s="1">
        <v>204</v>
      </c>
      <c r="J33" s="1">
        <v>151</v>
      </c>
      <c r="K33" s="1">
        <v>153</v>
      </c>
      <c r="L33" s="1">
        <v>60</v>
      </c>
      <c r="M33" s="1"/>
      <c r="N33" s="1"/>
      <c r="O33" s="2">
        <f t="shared" si="2"/>
        <v>1888</v>
      </c>
      <c r="P33" s="51"/>
      <c r="Q33" s="20">
        <f t="shared" si="11"/>
        <v>203.11111111111111</v>
      </c>
      <c r="R33" s="20">
        <f t="shared" si="12"/>
        <v>225.45333333333332</v>
      </c>
      <c r="S33" s="34">
        <f>+VLOOKUP(A33,'INVENTARIO ACTUAL'!$A$2:$E$42,5,FALSE)</f>
        <v>45</v>
      </c>
      <c r="T33" s="20">
        <f t="shared" si="5"/>
        <v>56.36333333333333</v>
      </c>
      <c r="U33" s="20">
        <f t="shared" si="6"/>
        <v>-11.36333333333333</v>
      </c>
      <c r="V33" s="20">
        <f t="shared" si="7"/>
        <v>-272.71999999999991</v>
      </c>
      <c r="W33" s="46"/>
      <c r="X33" s="21">
        <f t="shared" si="13"/>
        <v>11.272666666666666</v>
      </c>
      <c r="Y33" s="21">
        <v>24</v>
      </c>
      <c r="Z33" s="22">
        <f t="shared" si="14"/>
        <v>5410.8799999999992</v>
      </c>
      <c r="AA33" s="22">
        <f t="shared" si="8"/>
        <v>270.54399999999998</v>
      </c>
      <c r="AB33">
        <v>0.12</v>
      </c>
      <c r="AC33" s="21">
        <f t="shared" si="9"/>
        <v>32.46528</v>
      </c>
      <c r="AE33" s="20">
        <f t="shared" si="10"/>
        <v>-32.726399999999991</v>
      </c>
    </row>
    <row r="34" spans="1:31" x14ac:dyDescent="0.2">
      <c r="A34" t="s">
        <v>76</v>
      </c>
      <c r="B34" t="s">
        <v>77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249</v>
      </c>
      <c r="I34" s="1">
        <v>141</v>
      </c>
      <c r="J34" s="1">
        <v>145</v>
      </c>
      <c r="K34" s="1">
        <v>136</v>
      </c>
      <c r="L34" s="1">
        <v>35</v>
      </c>
      <c r="M34" s="1"/>
      <c r="N34" s="1"/>
      <c r="O34" s="2">
        <f t="shared" si="2"/>
        <v>706</v>
      </c>
      <c r="P34" s="51"/>
      <c r="Q34" s="20">
        <f>+AVERAGE(H34:K34)</f>
        <v>167.75</v>
      </c>
      <c r="R34" s="20">
        <f t="shared" si="12"/>
        <v>186.20249999999999</v>
      </c>
      <c r="S34" s="34">
        <f>+VLOOKUP(A34,'INVENTARIO ACTUAL'!$A$2:$E$42,5,FALSE)</f>
        <v>77</v>
      </c>
      <c r="T34" s="20">
        <f t="shared" si="5"/>
        <v>46.550624999999997</v>
      </c>
      <c r="U34" s="20">
        <f t="shared" si="6"/>
        <v>30.449375000000003</v>
      </c>
      <c r="V34" s="20">
        <f t="shared" si="7"/>
        <v>1096.1775000000002</v>
      </c>
      <c r="W34" s="46"/>
      <c r="X34" s="21">
        <f t="shared" si="13"/>
        <v>9.3101249999999993</v>
      </c>
      <c r="Y34" s="21">
        <v>36</v>
      </c>
      <c r="Z34" s="22">
        <f t="shared" si="14"/>
        <v>6703.2899999999991</v>
      </c>
      <c r="AA34" s="22">
        <f t="shared" si="8"/>
        <v>335.16449999999998</v>
      </c>
      <c r="AB34">
        <v>0.12</v>
      </c>
      <c r="AC34" s="21">
        <f t="shared" si="9"/>
        <v>40.219739999999994</v>
      </c>
      <c r="AE34" s="20">
        <f t="shared" si="10"/>
        <v>0</v>
      </c>
    </row>
    <row r="35" spans="1:31" x14ac:dyDescent="0.2">
      <c r="A35" t="s">
        <v>78</v>
      </c>
      <c r="B35" t="s">
        <v>79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25</v>
      </c>
      <c r="I35" s="1">
        <v>133</v>
      </c>
      <c r="J35" s="1">
        <v>89</v>
      </c>
      <c r="K35" s="1">
        <v>139</v>
      </c>
      <c r="L35" s="1">
        <v>39</v>
      </c>
      <c r="M35" s="1"/>
      <c r="N35" s="1"/>
      <c r="O35" s="2">
        <f t="shared" si="2"/>
        <v>425</v>
      </c>
      <c r="P35" s="51"/>
      <c r="Q35" s="20">
        <f>+AVERAGE(H35:K35)</f>
        <v>96.5</v>
      </c>
      <c r="R35" s="20">
        <f t="shared" si="12"/>
        <v>107.11499999999999</v>
      </c>
      <c r="S35" s="34">
        <f>+VLOOKUP(A35,'INVENTARIO ACTUAL'!$A$2:$E$42,5,FALSE)</f>
        <v>67</v>
      </c>
      <c r="T35" s="20">
        <f t="shared" si="5"/>
        <v>26.778749999999999</v>
      </c>
      <c r="U35" s="20">
        <f t="shared" si="6"/>
        <v>40.221249999999998</v>
      </c>
      <c r="V35" s="20">
        <f t="shared" si="7"/>
        <v>1447.9649999999999</v>
      </c>
      <c r="W35" s="46"/>
      <c r="X35" s="21">
        <f t="shared" si="13"/>
        <v>5.3557499999999996</v>
      </c>
      <c r="Y35" s="21">
        <v>36</v>
      </c>
      <c r="Z35" s="22">
        <f t="shared" si="14"/>
        <v>3856.14</v>
      </c>
      <c r="AA35" s="22">
        <f t="shared" si="8"/>
        <v>192.80699999999999</v>
      </c>
      <c r="AB35">
        <v>0.12</v>
      </c>
      <c r="AC35" s="21">
        <f t="shared" si="9"/>
        <v>23.136839999999999</v>
      </c>
      <c r="AE35" s="20">
        <f t="shared" si="10"/>
        <v>0</v>
      </c>
    </row>
    <row r="36" spans="1:31" ht="16" thickBot="1" x14ac:dyDescent="0.25">
      <c r="C36" s="19">
        <f>SUM(C3:C35)</f>
        <v>19300</v>
      </c>
      <c r="D36" s="19">
        <f t="shared" ref="D36:O36" si="15">SUM(D3:D35)</f>
        <v>13950</v>
      </c>
      <c r="E36" s="19">
        <f t="shared" si="15"/>
        <v>16039</v>
      </c>
      <c r="F36" s="19">
        <f t="shared" si="15"/>
        <v>15166.5</v>
      </c>
      <c r="G36" s="19">
        <f t="shared" si="15"/>
        <v>17769</v>
      </c>
      <c r="H36" s="19">
        <f t="shared" si="15"/>
        <v>15702</v>
      </c>
      <c r="I36" s="19">
        <f t="shared" si="15"/>
        <v>16581.5</v>
      </c>
      <c r="J36" s="19">
        <f t="shared" si="15"/>
        <v>16393.5</v>
      </c>
      <c r="K36" s="19">
        <f t="shared" si="15"/>
        <v>17280.5</v>
      </c>
      <c r="L36" s="19">
        <f t="shared" si="15"/>
        <v>3189.5</v>
      </c>
      <c r="M36" s="19"/>
      <c r="N36" s="19"/>
      <c r="O36" s="19">
        <f t="shared" si="15"/>
        <v>151371.5</v>
      </c>
      <c r="P36" s="52"/>
      <c r="Q36" s="38">
        <f>SUM(Q3:Q35)</f>
        <v>16611.472222222223</v>
      </c>
      <c r="R36" s="38">
        <f>SUM(R3:R35)</f>
        <v>18438.734166666673</v>
      </c>
      <c r="S36" s="38" t="e">
        <f t="shared" ref="S36:AC36" si="16">SUM(S3:S35)</f>
        <v>#N/A</v>
      </c>
      <c r="T36" s="38">
        <f t="shared" si="16"/>
        <v>4609.6835416666681</v>
      </c>
      <c r="U36" s="38" t="e">
        <f t="shared" si="16"/>
        <v>#N/A</v>
      </c>
      <c r="V36" s="38" t="e">
        <f t="shared" si="16"/>
        <v>#N/A</v>
      </c>
      <c r="W36" s="47"/>
      <c r="X36" s="38">
        <f t="shared" si="16"/>
        <v>921.93670833333351</v>
      </c>
      <c r="Y36" s="38"/>
      <c r="Z36" s="38">
        <f t="shared" si="16"/>
        <v>5835404.8033333337</v>
      </c>
      <c r="AA36" s="38">
        <f t="shared" si="16"/>
        <v>291770.24016666663</v>
      </c>
      <c r="AB36" s="38"/>
      <c r="AC36" s="38">
        <f t="shared" si="16"/>
        <v>6297.8190866666655</v>
      </c>
      <c r="AE36" s="31" t="e">
        <f>SUM(AE3:AE35)</f>
        <v>#N/A</v>
      </c>
    </row>
    <row r="37" spans="1:31" ht="16" thickTop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51"/>
      <c r="Q37" s="21"/>
      <c r="R37" s="21"/>
      <c r="S37" s="35"/>
      <c r="T37" s="21"/>
      <c r="U37" s="21"/>
      <c r="V37" s="21"/>
      <c r="W37" s="48"/>
      <c r="AC37" s="37"/>
    </row>
    <row r="38" spans="1:31" x14ac:dyDescent="0.2">
      <c r="A38" t="s">
        <v>66</v>
      </c>
      <c r="B38" t="s">
        <v>67</v>
      </c>
      <c r="C38" s="1">
        <v>133</v>
      </c>
      <c r="D38" s="1">
        <v>107</v>
      </c>
      <c r="E38" s="1">
        <v>162</v>
      </c>
      <c r="F38" s="1">
        <v>136</v>
      </c>
      <c r="G38" s="1">
        <v>124</v>
      </c>
      <c r="H38" s="1">
        <v>86</v>
      </c>
      <c r="I38" s="1">
        <v>73</v>
      </c>
      <c r="J38" s="1">
        <v>128</v>
      </c>
      <c r="K38" s="1">
        <v>161</v>
      </c>
      <c r="L38" s="1">
        <v>46</v>
      </c>
      <c r="M38" s="1"/>
      <c r="N38" s="1"/>
      <c r="O38" s="2">
        <f>SUM(C38:N38)</f>
        <v>1156</v>
      </c>
      <c r="P38" s="51"/>
      <c r="Q38" s="20">
        <f>+AVERAGE(C38:K38)</f>
        <v>123.33333333333333</v>
      </c>
      <c r="R38" s="20">
        <f>+Q38*$R$47+Q38</f>
        <v>136.9</v>
      </c>
      <c r="S38" s="34">
        <f>+VLOOKUP(A38,'INVENTARIO ACTUAL'!$A$2:$E$42,5,FALSE)</f>
        <v>4</v>
      </c>
      <c r="T38" s="20">
        <f t="shared" ref="T38:T42" si="17">+R38/4</f>
        <v>34.225000000000001</v>
      </c>
      <c r="U38" s="20">
        <f t="shared" ref="U38:U42" si="18">+S38-T38</f>
        <v>-30.225000000000001</v>
      </c>
      <c r="V38" s="20">
        <f t="shared" ref="V38:V42" si="19">+U38*Y38</f>
        <v>-72540</v>
      </c>
      <c r="W38" s="46"/>
      <c r="X38" s="21">
        <f>+R38/20</f>
        <v>6.8450000000000006</v>
      </c>
      <c r="Y38" s="21">
        <v>2400</v>
      </c>
      <c r="Z38" s="22">
        <f>+R38*Y38</f>
        <v>328560</v>
      </c>
      <c r="AA38" s="22">
        <f t="shared" ref="AA38:AA42" si="20">+Z38/20</f>
        <v>16428</v>
      </c>
      <c r="AB38">
        <v>2E-3</v>
      </c>
      <c r="AC38" s="21">
        <f t="shared" ref="AC38:AC42" si="21">+AA38*AB38</f>
        <v>32.856000000000002</v>
      </c>
      <c r="AE38" s="20">
        <f t="shared" ref="AE38:AE42" si="22">+IF(V38&lt;=0,V38*AB38,0)</f>
        <v>-145.08000000000001</v>
      </c>
    </row>
    <row r="39" spans="1:31" x14ac:dyDescent="0.2">
      <c r="A39" t="s">
        <v>68</v>
      </c>
      <c r="B39" t="s">
        <v>69</v>
      </c>
      <c r="C39" s="1">
        <v>37</v>
      </c>
      <c r="D39" s="1">
        <v>23</v>
      </c>
      <c r="E39" s="1">
        <v>24</v>
      </c>
      <c r="F39" s="1">
        <v>20</v>
      </c>
      <c r="G39" s="1">
        <v>49</v>
      </c>
      <c r="H39" s="1">
        <v>55</v>
      </c>
      <c r="I39" s="1">
        <v>32</v>
      </c>
      <c r="J39" s="1">
        <v>28</v>
      </c>
      <c r="K39" s="1">
        <v>56</v>
      </c>
      <c r="L39" s="1">
        <v>10</v>
      </c>
      <c r="M39" s="1"/>
      <c r="N39" s="1"/>
      <c r="O39" s="2">
        <f>SUM(C39:N39)</f>
        <v>334</v>
      </c>
      <c r="P39" s="51"/>
      <c r="Q39" s="20">
        <f>+AVERAGE(C39:K39)</f>
        <v>36</v>
      </c>
      <c r="R39" s="20">
        <f>+Q39*$R$47+Q39</f>
        <v>39.96</v>
      </c>
      <c r="S39" s="34">
        <f>+VLOOKUP(A39,'INVENTARIO ACTUAL'!$A$2:$E$42,5,FALSE)</f>
        <v>26</v>
      </c>
      <c r="T39" s="20">
        <f t="shared" si="17"/>
        <v>9.99</v>
      </c>
      <c r="U39" s="20">
        <f t="shared" si="18"/>
        <v>16.009999999999998</v>
      </c>
      <c r="V39" s="20">
        <f t="shared" si="19"/>
        <v>38423.999999999993</v>
      </c>
      <c r="W39" s="46"/>
      <c r="X39" s="21">
        <f>+R39/20</f>
        <v>1.998</v>
      </c>
      <c r="Y39" s="21">
        <v>2400</v>
      </c>
      <c r="Z39" s="22">
        <f>+R39*Y39</f>
        <v>95904</v>
      </c>
      <c r="AA39" s="22">
        <f t="shared" si="20"/>
        <v>4795.2</v>
      </c>
      <c r="AB39">
        <v>2E-3</v>
      </c>
      <c r="AC39" s="21">
        <f t="shared" si="21"/>
        <v>9.5904000000000007</v>
      </c>
      <c r="AE39" s="20">
        <f t="shared" si="22"/>
        <v>0</v>
      </c>
    </row>
    <row r="40" spans="1:31" x14ac:dyDescent="0.2">
      <c r="A40" t="s">
        <v>70</v>
      </c>
      <c r="B40" t="s">
        <v>71</v>
      </c>
      <c r="C40" s="1">
        <v>97</v>
      </c>
      <c r="D40" s="1">
        <v>53</v>
      </c>
      <c r="E40" s="1">
        <v>91</v>
      </c>
      <c r="F40" s="1">
        <v>113</v>
      </c>
      <c r="G40" s="1">
        <v>77</v>
      </c>
      <c r="H40" s="1">
        <v>65</v>
      </c>
      <c r="I40" s="1">
        <v>72</v>
      </c>
      <c r="J40" s="1">
        <v>74</v>
      </c>
      <c r="K40" s="1">
        <v>79</v>
      </c>
      <c r="L40" s="1">
        <v>8</v>
      </c>
      <c r="M40" s="1"/>
      <c r="N40" s="1"/>
      <c r="O40" s="2">
        <f>SUM(C40:N40)</f>
        <v>729</v>
      </c>
      <c r="P40" s="51"/>
      <c r="Q40" s="20">
        <f>+AVERAGE(C40:K40)</f>
        <v>80.111111111111114</v>
      </c>
      <c r="R40" s="20">
        <f>+Q40*$R$47+Q40</f>
        <v>88.923333333333332</v>
      </c>
      <c r="S40" s="34">
        <f>+VLOOKUP(A40,'INVENTARIO ACTUAL'!$A$2:$E$42,5,FALSE)</f>
        <v>4</v>
      </c>
      <c r="T40" s="20">
        <f t="shared" si="17"/>
        <v>22.230833333333333</v>
      </c>
      <c r="U40" s="20">
        <f t="shared" si="18"/>
        <v>-18.230833333333333</v>
      </c>
      <c r="V40" s="20">
        <f t="shared" si="19"/>
        <v>-43754</v>
      </c>
      <c r="W40" s="46"/>
      <c r="X40" s="21">
        <f>+R40/20</f>
        <v>4.4461666666666666</v>
      </c>
      <c r="Y40" s="21">
        <v>2400</v>
      </c>
      <c r="Z40" s="22">
        <f>+R40*Y40</f>
        <v>213416</v>
      </c>
      <c r="AA40" s="22">
        <f t="shared" si="20"/>
        <v>10670.8</v>
      </c>
      <c r="AB40">
        <v>2E-3</v>
      </c>
      <c r="AC40" s="21">
        <f t="shared" si="21"/>
        <v>21.3416</v>
      </c>
      <c r="AE40" s="20">
        <f t="shared" si="22"/>
        <v>-87.507999999999996</v>
      </c>
    </row>
    <row r="41" spans="1:31" x14ac:dyDescent="0.2">
      <c r="A41" t="s">
        <v>72</v>
      </c>
      <c r="B41" t="s">
        <v>73</v>
      </c>
      <c r="C41" s="1">
        <v>13</v>
      </c>
      <c r="D41" s="1">
        <v>15</v>
      </c>
      <c r="E41" s="1">
        <v>15</v>
      </c>
      <c r="F41" s="1">
        <v>15</v>
      </c>
      <c r="G41" s="1">
        <v>27</v>
      </c>
      <c r="H41" s="1">
        <v>89</v>
      </c>
      <c r="I41" s="1">
        <v>77</v>
      </c>
      <c r="J41" s="1">
        <v>17</v>
      </c>
      <c r="K41" s="1">
        <v>76</v>
      </c>
      <c r="L41" s="1">
        <v>36</v>
      </c>
      <c r="M41" s="1"/>
      <c r="N41" s="1"/>
      <c r="O41" s="2">
        <f>SUM(C41:N41)</f>
        <v>380</v>
      </c>
      <c r="P41" s="51"/>
      <c r="Q41" s="20">
        <f>+AVERAGE(C41:K41)</f>
        <v>38.222222222222221</v>
      </c>
      <c r="R41" s="20">
        <f>+Q41*$R$47+Q41</f>
        <v>42.426666666666662</v>
      </c>
      <c r="S41" s="34">
        <f>+VLOOKUP(A41,'INVENTARIO ACTUAL'!$A$2:$E$42,5,FALSE)</f>
        <v>18</v>
      </c>
      <c r="T41" s="20">
        <f t="shared" si="17"/>
        <v>10.606666666666666</v>
      </c>
      <c r="U41" s="20">
        <f t="shared" si="18"/>
        <v>7.3933333333333344</v>
      </c>
      <c r="V41" s="20">
        <f t="shared" si="19"/>
        <v>17744.000000000004</v>
      </c>
      <c r="W41" s="46"/>
      <c r="X41" s="21">
        <f>+R41/20</f>
        <v>2.1213333333333333</v>
      </c>
      <c r="Y41" s="21">
        <v>2400</v>
      </c>
      <c r="Z41" s="22">
        <f>+R41*Y41</f>
        <v>101823.99999999999</v>
      </c>
      <c r="AA41" s="22">
        <f t="shared" si="20"/>
        <v>5091.1999999999989</v>
      </c>
      <c r="AB41">
        <v>2E-3</v>
      </c>
      <c r="AC41" s="21">
        <f t="shared" si="21"/>
        <v>10.182399999999998</v>
      </c>
      <c r="AE41" s="20">
        <f t="shared" si="22"/>
        <v>0</v>
      </c>
    </row>
    <row r="42" spans="1:31" x14ac:dyDescent="0.2">
      <c r="A42" t="s">
        <v>74</v>
      </c>
      <c r="B42" t="s">
        <v>75</v>
      </c>
      <c r="C42" s="1">
        <v>369</v>
      </c>
      <c r="D42" s="1">
        <v>789</v>
      </c>
      <c r="E42" s="1">
        <v>736</v>
      </c>
      <c r="F42" s="1">
        <v>625</v>
      </c>
      <c r="G42" s="1">
        <v>719</v>
      </c>
      <c r="H42" s="1">
        <v>557</v>
      </c>
      <c r="I42" s="1">
        <v>339</v>
      </c>
      <c r="J42" s="1">
        <v>510</v>
      </c>
      <c r="K42" s="1">
        <v>661</v>
      </c>
      <c r="L42" s="1">
        <v>153</v>
      </c>
      <c r="M42" s="1"/>
      <c r="N42" s="1"/>
      <c r="O42" s="2">
        <f>SUM(C42:N42)</f>
        <v>5458</v>
      </c>
      <c r="P42" s="51"/>
      <c r="Q42" s="20">
        <f>+AVERAGE(C42:K42)</f>
        <v>589.44444444444446</v>
      </c>
      <c r="R42" s="20">
        <f>+Q42*$R$47+Q42</f>
        <v>654.2833333333333</v>
      </c>
      <c r="S42" s="34">
        <f>+VLOOKUP(A42,'INVENTARIO ACTUAL'!$A$2:$E$42,5,FALSE)</f>
        <v>10</v>
      </c>
      <c r="T42" s="20">
        <f t="shared" si="17"/>
        <v>163.57083333333333</v>
      </c>
      <c r="U42" s="20">
        <f t="shared" si="18"/>
        <v>-153.57083333333333</v>
      </c>
      <c r="V42" s="20">
        <f t="shared" si="19"/>
        <v>-368570</v>
      </c>
      <c r="W42" s="46"/>
      <c r="X42" s="21">
        <f>+R42/20</f>
        <v>32.714166666666664</v>
      </c>
      <c r="Y42" s="21">
        <v>2400</v>
      </c>
      <c r="Z42" s="22">
        <f>+R42*Y42</f>
        <v>1570280</v>
      </c>
      <c r="AA42" s="22">
        <f t="shared" si="20"/>
        <v>78514</v>
      </c>
      <c r="AB42">
        <v>2E-3</v>
      </c>
      <c r="AC42" s="21">
        <f t="shared" si="21"/>
        <v>157.02799999999999</v>
      </c>
      <c r="AE42" s="20">
        <f t="shared" si="22"/>
        <v>-737.14</v>
      </c>
    </row>
    <row r="43" spans="1:31" x14ac:dyDescent="0.2">
      <c r="Q43" s="22"/>
      <c r="R43" s="22"/>
      <c r="S43" s="22"/>
      <c r="T43" s="22"/>
      <c r="U43" s="22"/>
    </row>
    <row r="44" spans="1:31" ht="16" thickBot="1" x14ac:dyDescent="0.25">
      <c r="C44" s="18">
        <f t="shared" ref="C44:L44" si="23">SUM(C38:C43)</f>
        <v>649</v>
      </c>
      <c r="D44" s="18">
        <f t="shared" si="23"/>
        <v>987</v>
      </c>
      <c r="E44" s="18">
        <f t="shared" si="23"/>
        <v>1028</v>
      </c>
      <c r="F44" s="18">
        <f t="shared" si="23"/>
        <v>909</v>
      </c>
      <c r="G44" s="18">
        <f t="shared" si="23"/>
        <v>996</v>
      </c>
      <c r="H44" s="18">
        <f t="shared" si="23"/>
        <v>852</v>
      </c>
      <c r="I44" s="18">
        <f t="shared" si="23"/>
        <v>593</v>
      </c>
      <c r="J44" s="18">
        <f t="shared" si="23"/>
        <v>757</v>
      </c>
      <c r="K44" s="18">
        <f t="shared" si="23"/>
        <v>1033</v>
      </c>
      <c r="L44" s="18">
        <f t="shared" si="23"/>
        <v>253</v>
      </c>
      <c r="M44" s="18"/>
      <c r="N44" s="18"/>
      <c r="O44" s="18">
        <f>SUM(O38:O43)</f>
        <v>8057</v>
      </c>
      <c r="P44" s="53"/>
      <c r="Q44" s="39" t="s">
        <v>27</v>
      </c>
      <c r="R44" s="39">
        <f>SUM(R38:R43)</f>
        <v>962.49333333333334</v>
      </c>
      <c r="S44" s="39">
        <f>SUM(S38:S43)</f>
        <v>62</v>
      </c>
      <c r="T44" s="39"/>
      <c r="U44" s="39"/>
      <c r="V44" s="39"/>
      <c r="W44" s="49"/>
      <c r="X44" s="39">
        <f>SUM(X38:X43)</f>
        <v>48.124666666666663</v>
      </c>
      <c r="Y44" s="39"/>
      <c r="Z44" s="39">
        <f>SUM(Z38:Z43)</f>
        <v>2309984</v>
      </c>
      <c r="AA44" s="39">
        <f>SUM(AA38:AA43)</f>
        <v>115499.2</v>
      </c>
      <c r="AB44" s="40"/>
      <c r="AC44" s="39">
        <f>SUM(AC38:AC43)</f>
        <v>230.9984</v>
      </c>
      <c r="AE44" s="32">
        <f>SUM(AE38:AE43)</f>
        <v>-969.72800000000007</v>
      </c>
    </row>
    <row r="45" spans="1:31" ht="16" thickTop="1" x14ac:dyDescent="0.2">
      <c r="Q45" s="22"/>
      <c r="R45" s="22"/>
      <c r="S45" s="22"/>
      <c r="T45" s="22"/>
      <c r="U45" s="22"/>
    </row>
    <row r="46" spans="1:31" ht="16" thickBot="1" x14ac:dyDescent="0.25">
      <c r="C46" s="41">
        <f t="shared" ref="C46:L46" si="24">+C36+C44</f>
        <v>19949</v>
      </c>
      <c r="D46" s="41">
        <f t="shared" si="24"/>
        <v>14937</v>
      </c>
      <c r="E46" s="41">
        <f t="shared" si="24"/>
        <v>17067</v>
      </c>
      <c r="F46" s="41">
        <f t="shared" si="24"/>
        <v>16075.5</v>
      </c>
      <c r="G46" s="41">
        <f t="shared" si="24"/>
        <v>18765</v>
      </c>
      <c r="H46" s="41">
        <f t="shared" si="24"/>
        <v>16554</v>
      </c>
      <c r="I46" s="41">
        <f t="shared" si="24"/>
        <v>17174.5</v>
      </c>
      <c r="J46" s="41">
        <f t="shared" si="24"/>
        <v>17150.5</v>
      </c>
      <c r="K46" s="41">
        <f t="shared" si="24"/>
        <v>18313.5</v>
      </c>
      <c r="L46" s="41">
        <f t="shared" si="24"/>
        <v>3442.5</v>
      </c>
      <c r="M46" s="41"/>
      <c r="N46" s="41"/>
      <c r="O46" s="41">
        <f>+O36+O44</f>
        <v>159428.5</v>
      </c>
      <c r="P46" s="53"/>
      <c r="Q46" s="42" t="e">
        <f>+Q36+Q44</f>
        <v>#VALUE!</v>
      </c>
      <c r="R46" s="42">
        <f>+R36+R44</f>
        <v>19401.227500000005</v>
      </c>
      <c r="S46" s="42" t="e">
        <f>+S36+S44</f>
        <v>#N/A</v>
      </c>
      <c r="T46" s="43"/>
      <c r="U46" s="43"/>
      <c r="V46" s="43"/>
      <c r="W46" s="49"/>
      <c r="X46" s="45"/>
      <c r="Y46" s="45"/>
      <c r="Z46" s="45"/>
      <c r="AA46" s="45"/>
      <c r="AB46" s="44"/>
      <c r="AC46" s="45"/>
    </row>
    <row r="47" spans="1:31" ht="16" thickTop="1" x14ac:dyDescent="0.2">
      <c r="C47" s="23">
        <f>+C46/$O$46</f>
        <v>0.12512819226173488</v>
      </c>
      <c r="D47" s="23">
        <f t="shared" ref="D47:L47" si="25">+D46/$O$46</f>
        <v>9.3690902191264427E-2</v>
      </c>
      <c r="E47" s="23">
        <f t="shared" si="25"/>
        <v>0.10705112323078998</v>
      </c>
      <c r="F47" s="23">
        <f t="shared" si="25"/>
        <v>0.10083203442295449</v>
      </c>
      <c r="G47" s="23">
        <f t="shared" si="25"/>
        <v>0.11770166563694696</v>
      </c>
      <c r="H47" s="23">
        <f t="shared" si="25"/>
        <v>0.10383337985366481</v>
      </c>
      <c r="I47" s="23">
        <f t="shared" si="25"/>
        <v>0.10772540668701017</v>
      </c>
      <c r="J47" s="23">
        <f t="shared" si="25"/>
        <v>0.10757486898515635</v>
      </c>
      <c r="K47" s="23">
        <f t="shared" si="25"/>
        <v>0.11486967512082219</v>
      </c>
      <c r="L47" s="23">
        <f t="shared" si="25"/>
        <v>2.1592751609655739E-2</v>
      </c>
      <c r="M47" s="23">
        <f>+M46/$O$46</f>
        <v>0</v>
      </c>
      <c r="N47" s="23">
        <f>+N46/$O$46</f>
        <v>0</v>
      </c>
      <c r="R47" s="24">
        <f>+AVERAGE(C47:L47)+1%</f>
        <v>0.10999999999999999</v>
      </c>
      <c r="S47" s="24"/>
      <c r="T47" s="24"/>
      <c r="U47" s="24"/>
      <c r="V47" s="36"/>
      <c r="W47" s="50"/>
    </row>
    <row r="48" spans="1:31" x14ac:dyDescent="0.2">
      <c r="Q48" s="5"/>
      <c r="R48" s="5"/>
      <c r="S48" s="5"/>
      <c r="T48" s="5"/>
      <c r="U48" s="5"/>
    </row>
    <row r="49" spans="19:19" x14ac:dyDescent="0.2">
      <c r="S49">
        <v>4508</v>
      </c>
    </row>
    <row r="50" spans="19:19" x14ac:dyDescent="0.2">
      <c r="S50" s="54"/>
    </row>
  </sheetData>
  <autoFilter ref="A2:AE36" xr:uid="{B1311199-8922-41FD-A55A-639E2B27EAC6}"/>
  <mergeCells count="1">
    <mergeCell ref="A1:O1"/>
  </mergeCells>
  <conditionalFormatting sqref="A3:XFD35 A38:XFD42">
    <cfRule type="cellIs" dxfId="0" priority="1" operator="lessThan">
      <formula>0</formula>
    </cfRule>
  </conditionalFormatting>
  <pageMargins left="0.7" right="0.7" top="0.75" bottom="0.75" header="0.3" footer="0.3"/>
  <pageSetup scale="5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3DED-975C-427E-94B3-D7A881454616}">
  <sheetPr codeName="Hoja3"/>
  <dimension ref="A1:F42"/>
  <sheetViews>
    <sheetView zoomScale="161" workbookViewId="0">
      <selection activeCell="D2" sqref="D2"/>
    </sheetView>
  </sheetViews>
  <sheetFormatPr baseColWidth="10" defaultRowHeight="15" x14ac:dyDescent="0.2"/>
  <cols>
    <col min="1" max="1" width="8.1640625" bestFit="1" customWidth="1"/>
    <col min="2" max="2" width="33.33203125" bestFit="1" customWidth="1"/>
    <col min="3" max="3" width="9.83203125" bestFit="1" customWidth="1"/>
    <col min="4" max="4" width="11.5" bestFit="1" customWidth="1"/>
    <col min="5" max="5" width="6.83203125" bestFit="1" customWidth="1"/>
  </cols>
  <sheetData>
    <row r="1" spans="1:6" ht="16" thickBot="1" x14ac:dyDescent="0.25">
      <c r="A1" s="7" t="s">
        <v>94</v>
      </c>
      <c r="B1" s="7" t="s">
        <v>95</v>
      </c>
      <c r="C1" s="7" t="s">
        <v>96</v>
      </c>
      <c r="D1" s="8" t="s">
        <v>97</v>
      </c>
      <c r="E1" s="8" t="s">
        <v>98</v>
      </c>
    </row>
    <row r="2" spans="1:6" ht="16" thickBot="1" x14ac:dyDescent="0.25">
      <c r="A2" s="9" t="s">
        <v>10</v>
      </c>
      <c r="B2" s="10" t="s">
        <v>11</v>
      </c>
      <c r="C2" s="11">
        <v>7888</v>
      </c>
      <c r="D2" s="12">
        <v>7475.5</v>
      </c>
      <c r="E2" s="12">
        <f>C2-D2</f>
        <v>412.5</v>
      </c>
      <c r="F2" t="str">
        <f>+VLOOKUP(A2,'ANALISIS PROD'!$A$3:$A$43,1,FALSE)</f>
        <v>PT10001</v>
      </c>
    </row>
    <row r="3" spans="1:6" ht="16" thickBot="1" x14ac:dyDescent="0.25">
      <c r="A3" s="13" t="s">
        <v>12</v>
      </c>
      <c r="B3" s="14" t="s">
        <v>13</v>
      </c>
      <c r="C3" s="15">
        <v>5728</v>
      </c>
      <c r="D3" s="12">
        <v>5448</v>
      </c>
      <c r="E3" s="12">
        <v>280</v>
      </c>
      <c r="F3" t="str">
        <f>+VLOOKUP(A3,'ANALISIS PROD'!$A$3:$A$43,1,FALSE)</f>
        <v>PT10002</v>
      </c>
    </row>
    <row r="4" spans="1:6" ht="16" thickBot="1" x14ac:dyDescent="0.25">
      <c r="A4" s="9" t="s">
        <v>14</v>
      </c>
      <c r="B4" s="10" t="s">
        <v>15</v>
      </c>
      <c r="C4" s="11">
        <v>4648</v>
      </c>
      <c r="D4" s="12">
        <v>4594</v>
      </c>
      <c r="E4" s="12">
        <v>54</v>
      </c>
      <c r="F4" t="str">
        <f>+VLOOKUP(A4,'ANALISIS PROD'!$A$3:$A$43,1,FALSE)</f>
        <v>PT10003</v>
      </c>
    </row>
    <row r="5" spans="1:6" ht="16" thickBot="1" x14ac:dyDescent="0.25">
      <c r="A5" s="13" t="s">
        <v>16</v>
      </c>
      <c r="B5" s="14" t="s">
        <v>17</v>
      </c>
      <c r="C5" s="15">
        <v>7815</v>
      </c>
      <c r="D5" s="12">
        <v>7803</v>
      </c>
      <c r="E5" s="12">
        <v>12</v>
      </c>
      <c r="F5" t="str">
        <f>+VLOOKUP(A5,'ANALISIS PROD'!$A$3:$A$43,1,FALSE)</f>
        <v>PT10004</v>
      </c>
    </row>
    <row r="6" spans="1:6" ht="16" thickBot="1" x14ac:dyDescent="0.25">
      <c r="A6" s="9" t="s">
        <v>85</v>
      </c>
      <c r="B6" s="10" t="s">
        <v>99</v>
      </c>
      <c r="C6" s="11">
        <v>315</v>
      </c>
      <c r="D6" s="12">
        <v>296</v>
      </c>
      <c r="E6" s="12">
        <v>19</v>
      </c>
      <c r="F6" t="e">
        <f>+VLOOKUP(A6,'ANALISIS PROD'!$A$3:$A$43,1,FALSE)</f>
        <v>#N/A</v>
      </c>
    </row>
    <row r="7" spans="1:6" ht="16" thickBot="1" x14ac:dyDescent="0.25">
      <c r="A7" s="13" t="s">
        <v>18</v>
      </c>
      <c r="B7" s="14" t="s">
        <v>19</v>
      </c>
      <c r="C7" s="15">
        <v>617.5</v>
      </c>
      <c r="D7" s="12">
        <v>592.5</v>
      </c>
      <c r="E7" s="12">
        <v>25</v>
      </c>
      <c r="F7" t="e">
        <f>+VLOOKUP(A7,'ANALISIS PROD'!$A$3:$A$43,1,FALSE)</f>
        <v>#N/A</v>
      </c>
    </row>
    <row r="8" spans="1:6" ht="16" thickBot="1" x14ac:dyDescent="0.25">
      <c r="A8" s="9" t="s">
        <v>20</v>
      </c>
      <c r="B8" s="10" t="s">
        <v>21</v>
      </c>
      <c r="C8" s="11">
        <v>116</v>
      </c>
      <c r="D8" s="12">
        <v>105</v>
      </c>
      <c r="E8" s="12">
        <v>11</v>
      </c>
      <c r="F8" t="str">
        <f>+VLOOKUP(A8,'ANALISIS PROD'!$A$3:$A$43,1,FALSE)</f>
        <v>PT11002</v>
      </c>
    </row>
    <row r="9" spans="1:6" ht="16" thickBot="1" x14ac:dyDescent="0.25">
      <c r="A9" s="13" t="s">
        <v>22</v>
      </c>
      <c r="B9" s="14" t="s">
        <v>23</v>
      </c>
      <c r="C9" s="15">
        <v>860</v>
      </c>
      <c r="D9" s="12">
        <v>823</v>
      </c>
      <c r="E9" s="12">
        <v>37</v>
      </c>
      <c r="F9" t="str">
        <f>+VLOOKUP(A9,'ANALISIS PROD'!$A$3:$A$43,1,FALSE)</f>
        <v>PT11003</v>
      </c>
    </row>
    <row r="10" spans="1:6" ht="16" thickBot="1" x14ac:dyDescent="0.25">
      <c r="A10" s="9" t="s">
        <v>24</v>
      </c>
      <c r="B10" s="10" t="s">
        <v>25</v>
      </c>
      <c r="C10" s="11">
        <v>558</v>
      </c>
      <c r="D10" s="12">
        <v>540</v>
      </c>
      <c r="E10" s="12">
        <v>18</v>
      </c>
      <c r="F10" t="str">
        <f>+VLOOKUP(A10,'ANALISIS PROD'!$A$3:$A$43,1,FALSE)</f>
        <v>PT11004</v>
      </c>
    </row>
    <row r="11" spans="1:6" ht="16" thickBot="1" x14ac:dyDescent="0.25">
      <c r="A11" s="13" t="s">
        <v>26</v>
      </c>
      <c r="B11" s="14" t="s">
        <v>27</v>
      </c>
      <c r="C11" s="15">
        <v>4929</v>
      </c>
      <c r="D11" s="12">
        <v>4886</v>
      </c>
      <c r="E11" s="12">
        <v>43</v>
      </c>
      <c r="F11" t="str">
        <f>+VLOOKUP(A11,'ANALISIS PROD'!$A$3:$A$43,1,FALSE)</f>
        <v>PT12001</v>
      </c>
    </row>
    <row r="12" spans="1:6" ht="16" thickBot="1" x14ac:dyDescent="0.25">
      <c r="A12" s="9" t="s">
        <v>28</v>
      </c>
      <c r="B12" s="10" t="s">
        <v>29</v>
      </c>
      <c r="C12" s="11">
        <v>956</v>
      </c>
      <c r="D12" s="12">
        <v>941</v>
      </c>
      <c r="E12" s="12">
        <v>15</v>
      </c>
      <c r="F12" t="str">
        <f>+VLOOKUP(A12,'ANALISIS PROD'!$A$3:$A$43,1,FALSE)</f>
        <v>PT12002</v>
      </c>
    </row>
    <row r="13" spans="1:6" ht="16" thickBot="1" x14ac:dyDescent="0.25">
      <c r="A13" s="13" t="s">
        <v>30</v>
      </c>
      <c r="B13" s="14" t="s">
        <v>31</v>
      </c>
      <c r="C13" s="15">
        <v>436</v>
      </c>
      <c r="D13" s="12">
        <v>385</v>
      </c>
      <c r="E13" s="12">
        <v>51</v>
      </c>
      <c r="F13" t="str">
        <f>+VLOOKUP(A13,'ANALISIS PROD'!$A$3:$A$43,1,FALSE)</f>
        <v>PT12003</v>
      </c>
    </row>
    <row r="14" spans="1:6" ht="16" thickBot="1" x14ac:dyDescent="0.25">
      <c r="A14" s="9" t="s">
        <v>32</v>
      </c>
      <c r="B14" s="10" t="s">
        <v>33</v>
      </c>
      <c r="C14" s="11">
        <v>454</v>
      </c>
      <c r="D14" s="12">
        <v>414</v>
      </c>
      <c r="E14" s="12">
        <v>40</v>
      </c>
      <c r="F14" t="str">
        <f>+VLOOKUP(A14,'ANALISIS PROD'!$A$3:$A$43,1,FALSE)</f>
        <v>PT12004</v>
      </c>
    </row>
    <row r="15" spans="1:6" ht="16" thickBot="1" x14ac:dyDescent="0.25">
      <c r="A15" s="13" t="s">
        <v>34</v>
      </c>
      <c r="B15" s="14" t="s">
        <v>35</v>
      </c>
      <c r="C15" s="15">
        <v>1458</v>
      </c>
      <c r="D15" s="12">
        <v>1403</v>
      </c>
      <c r="E15" s="12">
        <v>55</v>
      </c>
      <c r="F15" t="str">
        <f>+VLOOKUP(A15,'ANALISIS PROD'!$A$3:$A$43,1,FALSE)</f>
        <v>PT13001</v>
      </c>
    </row>
    <row r="16" spans="1:6" ht="16" thickBot="1" x14ac:dyDescent="0.25">
      <c r="A16" s="9" t="s">
        <v>36</v>
      </c>
      <c r="B16" s="10" t="s">
        <v>37</v>
      </c>
      <c r="C16" s="11">
        <v>10860</v>
      </c>
      <c r="D16" s="12">
        <v>10625.5</v>
      </c>
      <c r="E16" s="12">
        <v>234.5</v>
      </c>
      <c r="F16" t="str">
        <f>+VLOOKUP(A16,'ANALISIS PROD'!$A$3:$A$43,1,FALSE)</f>
        <v>PT20001</v>
      </c>
    </row>
    <row r="17" spans="1:6" ht="16" thickBot="1" x14ac:dyDescent="0.25">
      <c r="A17" s="13" t="s">
        <v>38</v>
      </c>
      <c r="B17" s="14" t="s">
        <v>39</v>
      </c>
      <c r="C17" s="15">
        <v>29947</v>
      </c>
      <c r="D17" s="12">
        <v>28803</v>
      </c>
      <c r="E17" s="12">
        <v>1144</v>
      </c>
      <c r="F17" t="str">
        <f>+VLOOKUP(A17,'ANALISIS PROD'!$A$3:$A$43,1,FALSE)</f>
        <v>PT20002</v>
      </c>
    </row>
    <row r="18" spans="1:6" ht="16" thickBot="1" x14ac:dyDescent="0.25">
      <c r="A18" s="9" t="s">
        <v>40</v>
      </c>
      <c r="B18" s="10" t="s">
        <v>41</v>
      </c>
      <c r="C18" s="11">
        <v>6014</v>
      </c>
      <c r="D18" s="12">
        <v>6004</v>
      </c>
      <c r="E18" s="12">
        <v>10</v>
      </c>
      <c r="F18" t="str">
        <f>+VLOOKUP(A18,'ANALISIS PROD'!$A$3:$A$43,1,FALSE)</f>
        <v>PT20003</v>
      </c>
    </row>
    <row r="19" spans="1:6" ht="16" thickBot="1" x14ac:dyDescent="0.25">
      <c r="A19" s="13" t="s">
        <v>42</v>
      </c>
      <c r="B19" s="14" t="s">
        <v>43</v>
      </c>
      <c r="C19" s="15">
        <v>5944</v>
      </c>
      <c r="D19" s="12">
        <v>5932</v>
      </c>
      <c r="E19" s="12">
        <v>12</v>
      </c>
      <c r="F19" t="str">
        <f>+VLOOKUP(A19,'ANALISIS PROD'!$A$3:$A$43,1,FALSE)</f>
        <v>PT20004</v>
      </c>
    </row>
    <row r="20" spans="1:6" ht="16" thickBot="1" x14ac:dyDescent="0.25">
      <c r="A20" s="9" t="s">
        <v>44</v>
      </c>
      <c r="B20" s="10" t="s">
        <v>45</v>
      </c>
      <c r="C20" s="11">
        <v>247</v>
      </c>
      <c r="D20" s="12">
        <v>231</v>
      </c>
      <c r="E20" s="12">
        <v>16</v>
      </c>
      <c r="F20" t="str">
        <f>+VLOOKUP(A20,'ANALISIS PROD'!$A$3:$A$43,1,FALSE)</f>
        <v>PT20006</v>
      </c>
    </row>
    <row r="21" spans="1:6" ht="16" thickBot="1" x14ac:dyDescent="0.25">
      <c r="A21" s="13" t="s">
        <v>86</v>
      </c>
      <c r="B21" s="14" t="s">
        <v>87</v>
      </c>
      <c r="C21" s="15">
        <v>220</v>
      </c>
      <c r="D21" s="12">
        <v>195</v>
      </c>
      <c r="E21" s="12">
        <v>25</v>
      </c>
      <c r="F21" t="e">
        <f>+VLOOKUP(A21,'ANALISIS PROD'!$A$3:$A$43,1,FALSE)</f>
        <v>#N/A</v>
      </c>
    </row>
    <row r="22" spans="1:6" ht="16" thickBot="1" x14ac:dyDescent="0.25">
      <c r="A22" s="9" t="s">
        <v>88</v>
      </c>
      <c r="B22" s="10" t="s">
        <v>89</v>
      </c>
      <c r="C22" s="11">
        <v>364</v>
      </c>
      <c r="D22" s="12">
        <v>364</v>
      </c>
      <c r="E22" s="12">
        <v>0</v>
      </c>
      <c r="F22" t="e">
        <f>+VLOOKUP(A22,'ANALISIS PROD'!$A$3:$A$43,1,FALSE)</f>
        <v>#N/A</v>
      </c>
    </row>
    <row r="23" spans="1:6" ht="16" thickBot="1" x14ac:dyDescent="0.25">
      <c r="A23" s="13" t="s">
        <v>46</v>
      </c>
      <c r="B23" s="14" t="s">
        <v>47</v>
      </c>
      <c r="C23" s="15">
        <v>14590</v>
      </c>
      <c r="D23" s="12">
        <v>14448</v>
      </c>
      <c r="E23" s="12">
        <v>142</v>
      </c>
      <c r="F23" t="str">
        <f>+VLOOKUP(A23,'ANALISIS PROD'!$A$3:$A$43,1,FALSE)</f>
        <v>PT21001</v>
      </c>
    </row>
    <row r="24" spans="1:6" ht="16" thickBot="1" x14ac:dyDescent="0.25">
      <c r="A24" s="9" t="s">
        <v>48</v>
      </c>
      <c r="B24" s="10" t="s">
        <v>49</v>
      </c>
      <c r="C24" s="11">
        <v>18956</v>
      </c>
      <c r="D24" s="12">
        <v>18779</v>
      </c>
      <c r="E24" s="12">
        <v>173</v>
      </c>
      <c r="F24" t="str">
        <f>+VLOOKUP(A24,'ANALISIS PROD'!$A$3:$A$43,1,FALSE)</f>
        <v>PT21002</v>
      </c>
    </row>
    <row r="25" spans="1:6" ht="16" thickBot="1" x14ac:dyDescent="0.25">
      <c r="A25" s="13" t="s">
        <v>50</v>
      </c>
      <c r="B25" s="14" t="s">
        <v>51</v>
      </c>
      <c r="C25" s="15">
        <v>3043</v>
      </c>
      <c r="D25" s="12">
        <v>2989</v>
      </c>
      <c r="E25" s="12">
        <v>54</v>
      </c>
      <c r="F25" t="str">
        <f>+VLOOKUP(A25,'ANALISIS PROD'!$A$3:$A$43,1,FALSE)</f>
        <v>PT21003</v>
      </c>
    </row>
    <row r="26" spans="1:6" ht="16" thickBot="1" x14ac:dyDescent="0.25">
      <c r="A26" s="9" t="s">
        <v>52</v>
      </c>
      <c r="B26" s="10" t="s">
        <v>53</v>
      </c>
      <c r="C26" s="11">
        <v>1757</v>
      </c>
      <c r="D26" s="12">
        <v>1700</v>
      </c>
      <c r="E26" s="12">
        <v>57</v>
      </c>
      <c r="F26" t="str">
        <f>+VLOOKUP(A26,'ANALISIS PROD'!$A$3:$A$43,1,FALSE)</f>
        <v>PT21004</v>
      </c>
    </row>
    <row r="27" spans="1:6" ht="16" thickBot="1" x14ac:dyDescent="0.25">
      <c r="A27" s="13" t="s">
        <v>56</v>
      </c>
      <c r="B27" s="14" t="s">
        <v>57</v>
      </c>
      <c r="C27" s="15">
        <v>9750</v>
      </c>
      <c r="D27" s="12">
        <v>9379.5</v>
      </c>
      <c r="E27" s="12">
        <v>370.5</v>
      </c>
      <c r="F27" t="str">
        <f>+VLOOKUP(A27,'ANALISIS PROD'!$A$3:$A$43,1,FALSE)</f>
        <v>PT22001</v>
      </c>
    </row>
    <row r="28" spans="1:6" ht="16" thickBot="1" x14ac:dyDescent="0.25">
      <c r="A28" s="9" t="s">
        <v>58</v>
      </c>
      <c r="B28" s="10" t="s">
        <v>59</v>
      </c>
      <c r="C28" s="11">
        <v>6931.5</v>
      </c>
      <c r="D28" s="12">
        <v>6561.5</v>
      </c>
      <c r="E28" s="12">
        <v>370</v>
      </c>
      <c r="F28" t="str">
        <f>+VLOOKUP(A28,'ANALISIS PROD'!$A$3:$A$43,1,FALSE)</f>
        <v>PT22002</v>
      </c>
    </row>
    <row r="29" spans="1:6" ht="16" thickBot="1" x14ac:dyDescent="0.25">
      <c r="A29" s="13" t="s">
        <v>60</v>
      </c>
      <c r="B29" s="14" t="s">
        <v>61</v>
      </c>
      <c r="C29" s="15">
        <v>5343</v>
      </c>
      <c r="D29" s="12">
        <v>5137.5</v>
      </c>
      <c r="E29" s="12">
        <v>205.5</v>
      </c>
      <c r="F29" t="str">
        <f>+VLOOKUP(A29,'ANALISIS PROD'!$A$3:$A$43,1,FALSE)</f>
        <v>PT23001</v>
      </c>
    </row>
    <row r="30" spans="1:6" ht="16" thickBot="1" x14ac:dyDescent="0.25">
      <c r="A30" s="9" t="s">
        <v>62</v>
      </c>
      <c r="B30" s="10" t="s">
        <v>63</v>
      </c>
      <c r="C30" s="11">
        <v>4847</v>
      </c>
      <c r="D30" s="12">
        <v>4665</v>
      </c>
      <c r="E30" s="12">
        <v>182</v>
      </c>
      <c r="F30" t="str">
        <f>+VLOOKUP(A30,'ANALISIS PROD'!$A$3:$A$43,1,FALSE)</f>
        <v>PT23002</v>
      </c>
    </row>
    <row r="31" spans="1:6" ht="16" thickBot="1" x14ac:dyDescent="0.25">
      <c r="A31" s="13" t="s">
        <v>64</v>
      </c>
      <c r="B31" s="14" t="s">
        <v>65</v>
      </c>
      <c r="C31" s="15">
        <v>1934</v>
      </c>
      <c r="D31" s="12">
        <v>1889</v>
      </c>
      <c r="E31" s="12">
        <v>45</v>
      </c>
      <c r="F31" t="str">
        <f>+VLOOKUP(A31,'ANALISIS PROD'!$A$3:$A$43,1,FALSE)</f>
        <v>PT30001</v>
      </c>
    </row>
    <row r="32" spans="1:6" ht="16" thickBot="1" x14ac:dyDescent="0.25">
      <c r="A32" s="9" t="s">
        <v>66</v>
      </c>
      <c r="B32" s="10" t="s">
        <v>67</v>
      </c>
      <c r="C32" s="11">
        <v>1280</v>
      </c>
      <c r="D32" s="12">
        <v>1276</v>
      </c>
      <c r="E32" s="12">
        <v>4</v>
      </c>
      <c r="F32" t="str">
        <f>+VLOOKUP(A32,'ANALISIS PROD'!$A$3:$A$43,1,FALSE)</f>
        <v>PT70001</v>
      </c>
    </row>
    <row r="33" spans="1:6" ht="16" thickBot="1" x14ac:dyDescent="0.25">
      <c r="A33" s="13" t="s">
        <v>68</v>
      </c>
      <c r="B33" s="14" t="s">
        <v>69</v>
      </c>
      <c r="C33" s="15">
        <v>417</v>
      </c>
      <c r="D33" s="12">
        <v>391</v>
      </c>
      <c r="E33" s="12">
        <v>26</v>
      </c>
      <c r="F33" t="str">
        <f>+VLOOKUP(A33,'ANALISIS PROD'!$A$3:$A$43,1,FALSE)</f>
        <v>PT70002</v>
      </c>
    </row>
    <row r="34" spans="1:6" ht="16" thickBot="1" x14ac:dyDescent="0.25">
      <c r="A34" s="9" t="s">
        <v>70</v>
      </c>
      <c r="B34" s="10" t="s">
        <v>71</v>
      </c>
      <c r="C34" s="11">
        <v>729</v>
      </c>
      <c r="D34" s="12">
        <v>725</v>
      </c>
      <c r="E34" s="12">
        <v>4</v>
      </c>
      <c r="F34" t="str">
        <f>+VLOOKUP(A34,'ANALISIS PROD'!$A$3:$A$43,1,FALSE)</f>
        <v>PT71001</v>
      </c>
    </row>
    <row r="35" spans="1:6" ht="16" thickBot="1" x14ac:dyDescent="0.25">
      <c r="A35" s="13" t="s">
        <v>72</v>
      </c>
      <c r="B35" s="14" t="s">
        <v>73</v>
      </c>
      <c r="C35" s="15">
        <v>456</v>
      </c>
      <c r="D35" s="12">
        <v>438</v>
      </c>
      <c r="E35" s="12">
        <v>18</v>
      </c>
      <c r="F35" t="str">
        <f>+VLOOKUP(A35,'ANALISIS PROD'!$A$3:$A$43,1,FALSE)</f>
        <v>PT71002</v>
      </c>
    </row>
    <row r="36" spans="1:6" ht="16" thickBot="1" x14ac:dyDescent="0.25">
      <c r="A36" s="9" t="s">
        <v>74</v>
      </c>
      <c r="B36" s="10" t="s">
        <v>100</v>
      </c>
      <c r="C36" s="11">
        <v>5887</v>
      </c>
      <c r="D36" s="12">
        <v>5877</v>
      </c>
      <c r="E36" s="12">
        <v>10</v>
      </c>
      <c r="F36" t="str">
        <f>+VLOOKUP(A36,'ANALISIS PROD'!$A$3:$A$43,1,FALSE)</f>
        <v>PT72001</v>
      </c>
    </row>
    <row r="37" spans="1:6" ht="16" thickBot="1" x14ac:dyDescent="0.25">
      <c r="A37" s="13" t="s">
        <v>54</v>
      </c>
      <c r="B37" s="14" t="s">
        <v>55</v>
      </c>
      <c r="C37" s="15">
        <v>60.5</v>
      </c>
      <c r="D37" s="12">
        <v>56.5</v>
      </c>
      <c r="E37" s="12">
        <v>4</v>
      </c>
      <c r="F37" t="str">
        <f>+VLOOKUP(A37,'ANALISIS PROD'!$A$3:$A$43,1,FALSE)</f>
        <v>PT21005</v>
      </c>
    </row>
    <row r="38" spans="1:6" ht="16" thickBot="1" x14ac:dyDescent="0.25">
      <c r="A38" s="9" t="s">
        <v>76</v>
      </c>
      <c r="B38" s="10" t="s">
        <v>101</v>
      </c>
      <c r="C38" s="11">
        <v>847</v>
      </c>
      <c r="D38" s="12">
        <v>770</v>
      </c>
      <c r="E38" s="12">
        <v>77</v>
      </c>
      <c r="F38" t="str">
        <f>+VLOOKUP(A38,'ANALISIS PROD'!$A$3:$A$43,1,FALSE)</f>
        <v>PT22003</v>
      </c>
    </row>
    <row r="39" spans="1:6" ht="16" thickBot="1" x14ac:dyDescent="0.25">
      <c r="A39" s="13" t="s">
        <v>78</v>
      </c>
      <c r="B39" s="14" t="s">
        <v>79</v>
      </c>
      <c r="C39" s="15">
        <v>492</v>
      </c>
      <c r="D39" s="12">
        <v>425</v>
      </c>
      <c r="E39" s="12">
        <v>67</v>
      </c>
      <c r="F39" t="str">
        <f>+VLOOKUP(A39,'ANALISIS PROD'!$A$3:$A$43,1,FALSE)</f>
        <v>PT22004</v>
      </c>
    </row>
    <row r="40" spans="1:6" ht="16" thickBot="1" x14ac:dyDescent="0.25">
      <c r="A40" s="9" t="s">
        <v>102</v>
      </c>
      <c r="B40" s="10" t="s">
        <v>103</v>
      </c>
      <c r="C40" s="11">
        <v>20</v>
      </c>
      <c r="D40" s="12">
        <v>20</v>
      </c>
      <c r="E40" s="12">
        <v>0</v>
      </c>
      <c r="F40" t="e">
        <f>+VLOOKUP(A40,'ANALISIS PROD'!$A$3:$A$43,1,FALSE)</f>
        <v>#N/A</v>
      </c>
    </row>
    <row r="41" spans="1:6" ht="16" thickBot="1" x14ac:dyDescent="0.25">
      <c r="A41" s="13" t="s">
        <v>104</v>
      </c>
      <c r="B41" s="14" t="s">
        <v>105</v>
      </c>
      <c r="C41" s="15">
        <v>70</v>
      </c>
      <c r="D41" s="12">
        <v>36</v>
      </c>
      <c r="E41" s="12">
        <v>34</v>
      </c>
      <c r="F41" t="e">
        <f>+VLOOKUP(A41,'ANALISIS PROD'!$A$3:$A$43,1,FALSE)</f>
        <v>#N/A</v>
      </c>
    </row>
    <row r="42" spans="1:6" ht="16" thickBot="1" x14ac:dyDescent="0.25">
      <c r="A42" s="9" t="s">
        <v>106</v>
      </c>
      <c r="B42" s="10" t="s">
        <v>107</v>
      </c>
      <c r="C42" s="11">
        <v>506</v>
      </c>
      <c r="D42" s="12">
        <v>354</v>
      </c>
      <c r="E42" s="12">
        <v>151</v>
      </c>
      <c r="F42" t="str">
        <f>+VLOOKUP(A42,'ANALISIS PROD'!$A$3:$A$43,1,FALSE)</f>
        <v>PT21006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horno</vt:lpstr>
      <vt:lpstr>ANALISIS PROD</vt:lpstr>
      <vt:lpstr>INVENTARIO ACTUAL</vt:lpstr>
      <vt:lpstr>'ANALISIS PROD'!Print_Area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Vinueza</dc:creator>
  <cp:lastModifiedBy>Dario Vinueza</cp:lastModifiedBy>
  <cp:lastPrinted>2023-08-31T15:01:44Z</cp:lastPrinted>
  <dcterms:created xsi:type="dcterms:W3CDTF">2023-08-30T16:57:10Z</dcterms:created>
  <dcterms:modified xsi:type="dcterms:W3CDTF">2023-12-11T02:34:31Z</dcterms:modified>
</cp:coreProperties>
</file>